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ata" sheetId="1" r:id="rId5"/>
    <sheet state="visible" name="Count" sheetId="2" r:id="rId6"/>
    <sheet state="visible" name="Countif" sheetId="3" r:id="rId7"/>
    <sheet state="visible" name="sumif" sheetId="4" r:id="rId8"/>
    <sheet state="visible" name="Averageif" sheetId="5" r:id="rId9"/>
    <sheet state="visible" name="Logic_If" sheetId="6" r:id="rId10"/>
    <sheet state="visible" name="XLOOKUP " sheetId="7" r:id="rId11"/>
    <sheet state="visible" name="Reports" sheetId="8" r:id="rId12"/>
  </sheets>
  <definedNames>
    <definedName hidden="1" localSheetId="7" name="_xlnm._FilterDatabase">Reports!$B$1:$S$1000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<sst xmlns="http://schemas.openxmlformats.org/spreadsheetml/2006/main" count="6100" uniqueCount="805">
  <si>
    <t>Student_ID</t>
  </si>
  <si>
    <t>Full_Name</t>
  </si>
  <si>
    <t>Gender</t>
  </si>
  <si>
    <t>Class</t>
  </si>
  <si>
    <t>Section</t>
  </si>
  <si>
    <t>City</t>
  </si>
  <si>
    <t>Maths</t>
  </si>
  <si>
    <t>Science</t>
  </si>
  <si>
    <t>English</t>
  </si>
  <si>
    <t>Hindi</t>
  </si>
  <si>
    <t>Social_Studies</t>
  </si>
  <si>
    <t>Total</t>
  </si>
  <si>
    <t>Percentage</t>
  </si>
  <si>
    <t>Attendance</t>
  </si>
  <si>
    <t>Status</t>
  </si>
  <si>
    <t>STD-1001</t>
  </si>
  <si>
    <t>Priya Choudhary</t>
  </si>
  <si>
    <t>Female</t>
  </si>
  <si>
    <t>10</t>
  </si>
  <si>
    <t>A</t>
  </si>
  <si>
    <t>Chandigarh</t>
  </si>
  <si>
    <t>Pass</t>
  </si>
  <si>
    <t>STD-1002</t>
  </si>
  <si>
    <t>Aarav Verma</t>
  </si>
  <si>
    <t>Male</t>
  </si>
  <si>
    <t>7</t>
  </si>
  <si>
    <t>C</t>
  </si>
  <si>
    <t>Kolkata</t>
  </si>
  <si>
    <t>STD-1003</t>
  </si>
  <si>
    <t>Sai Iyer</t>
  </si>
  <si>
    <t>8</t>
  </si>
  <si>
    <t>STD-1004</t>
  </si>
  <si>
    <t>Ananya Singh</t>
  </si>
  <si>
    <t>STD-1005</t>
  </si>
  <si>
    <t>Shreya Kulkarni</t>
  </si>
  <si>
    <t>STD-1006</t>
  </si>
  <si>
    <t>Aarav Kulkarni</t>
  </si>
  <si>
    <t>Delhi</t>
  </si>
  <si>
    <t>STD-1007</t>
  </si>
  <si>
    <t>Meera Gupta</t>
  </si>
  <si>
    <t>9</t>
  </si>
  <si>
    <t>Lucknow</t>
  </si>
  <si>
    <t>STD-1008</t>
  </si>
  <si>
    <t>Kavya Gupta</t>
  </si>
  <si>
    <t>Bhopal</t>
  </si>
  <si>
    <t>STD-1009</t>
  </si>
  <si>
    <t>Vivaan Verma</t>
  </si>
  <si>
    <t>B</t>
  </si>
  <si>
    <t>STD-1010</t>
  </si>
  <si>
    <t>Ananya Banerjee</t>
  </si>
  <si>
    <t>STD-1011</t>
  </si>
  <si>
    <t>Aditya Choudhary</t>
  </si>
  <si>
    <t>STD-1012</t>
  </si>
  <si>
    <t>Priya Patel</t>
  </si>
  <si>
    <t>6</t>
  </si>
  <si>
    <t>Jaipur</t>
  </si>
  <si>
    <t>STD-1013</t>
  </si>
  <si>
    <t>Sai Verma</t>
  </si>
  <si>
    <t>STD-1014</t>
  </si>
  <si>
    <t>Ananya Yadav</t>
  </si>
  <si>
    <t>STD-1015</t>
  </si>
  <si>
    <t>Pooja Jain</t>
  </si>
  <si>
    <t>Patna</t>
  </si>
  <si>
    <t>STD-1016</t>
  </si>
  <si>
    <t>Karan Verma</t>
  </si>
  <si>
    <t>STD-1017</t>
  </si>
  <si>
    <t>Rohan Singh</t>
  </si>
  <si>
    <t>STD-1018</t>
  </si>
  <si>
    <t>Arjun Reddy</t>
  </si>
  <si>
    <t>STD-1019</t>
  </si>
  <si>
    <t>Karan Iyer</t>
  </si>
  <si>
    <t>STD-1020</t>
  </si>
  <si>
    <t>Arjun Singh</t>
  </si>
  <si>
    <t>STD-1021</t>
  </si>
  <si>
    <t>Ishita Kulkarni</t>
  </si>
  <si>
    <t>STD-1022</t>
  </si>
  <si>
    <t>Rahul Singh</t>
  </si>
  <si>
    <t>Mumbai</t>
  </si>
  <si>
    <t>STD-1023</t>
  </si>
  <si>
    <t>Sneha Gupta</t>
  </si>
  <si>
    <t>STD-1024</t>
  </si>
  <si>
    <t>Shreya Verma</t>
  </si>
  <si>
    <t>STD-1025</t>
  </si>
  <si>
    <t>Ananya Nair</t>
  </si>
  <si>
    <t>STD-1026</t>
  </si>
  <si>
    <t>Neha Kaur</t>
  </si>
  <si>
    <t>STD-1027</t>
  </si>
  <si>
    <t>Ishita Yadav</t>
  </si>
  <si>
    <t>STD-1028</t>
  </si>
  <si>
    <t>Ritika Nair</t>
  </si>
  <si>
    <t>STD-1029</t>
  </si>
  <si>
    <t>Ananya Patel</t>
  </si>
  <si>
    <t>STD-1030</t>
  </si>
  <si>
    <t>Ananya Reddy</t>
  </si>
  <si>
    <t>STD-1031</t>
  </si>
  <si>
    <t>STD-1032</t>
  </si>
  <si>
    <t>Simran Verma</t>
  </si>
  <si>
    <t>STD-1033</t>
  </si>
  <si>
    <t>STD-1034</t>
  </si>
  <si>
    <t>Pooja Verma</t>
  </si>
  <si>
    <t>STD-1035</t>
  </si>
  <si>
    <t>Kavya Kulkarni</t>
  </si>
  <si>
    <t>STD-1036</t>
  </si>
  <si>
    <t>Aditya Reddy</t>
  </si>
  <si>
    <t>STD-1037</t>
  </si>
  <si>
    <t>Ananya Das</t>
  </si>
  <si>
    <t>STD-1038</t>
  </si>
  <si>
    <t>Ishita Nair</t>
  </si>
  <si>
    <t>STD-1039</t>
  </si>
  <si>
    <t>Meera Singh</t>
  </si>
  <si>
    <t>STD-1040</t>
  </si>
  <si>
    <t>Arjun Verma</t>
  </si>
  <si>
    <t>STD-1041</t>
  </si>
  <si>
    <t>Ananya Kulkarni</t>
  </si>
  <si>
    <t>STD-1042</t>
  </si>
  <si>
    <t>Tanvi Choudhary</t>
  </si>
  <si>
    <t>STD-1043</t>
  </si>
  <si>
    <t>Priya Jain</t>
  </si>
  <si>
    <t>STD-1044</t>
  </si>
  <si>
    <t>Meera Verma</t>
  </si>
  <si>
    <t>STD-1045</t>
  </si>
  <si>
    <t>Sneha Yadav</t>
  </si>
  <si>
    <t>STD-1046</t>
  </si>
  <si>
    <t>Ritika Yadav</t>
  </si>
  <si>
    <t>STD-1047</t>
  </si>
  <si>
    <t>Arjun Banerjee</t>
  </si>
  <si>
    <t>STD-1048</t>
  </si>
  <si>
    <t>Aditya Iyer</t>
  </si>
  <si>
    <t>STD-1049</t>
  </si>
  <si>
    <t>STD-1050</t>
  </si>
  <si>
    <t>STD-1051</t>
  </si>
  <si>
    <t>Aditya Patel</t>
  </si>
  <si>
    <t>STD-1052</t>
  </si>
  <si>
    <t>Rahul Jain</t>
  </si>
  <si>
    <t>STD-1053</t>
  </si>
  <si>
    <t>Karan Kulkarni</t>
  </si>
  <si>
    <t>STD-1054</t>
  </si>
  <si>
    <t>Kavya Verma</t>
  </si>
  <si>
    <t>STD-1055</t>
  </si>
  <si>
    <t>Shreya Singh</t>
  </si>
  <si>
    <t>STD-1056</t>
  </si>
  <si>
    <t>Ananya Verma</t>
  </si>
  <si>
    <t>STD-1057</t>
  </si>
  <si>
    <t>STD-1058</t>
  </si>
  <si>
    <t>STD-1059</t>
  </si>
  <si>
    <t>Ananya Iyer</t>
  </si>
  <si>
    <t>STD-1060</t>
  </si>
  <si>
    <t>Ishita Banerjee</t>
  </si>
  <si>
    <t>STD-1061</t>
  </si>
  <si>
    <t>Ritika Kulkarni</t>
  </si>
  <si>
    <t>STD-1062</t>
  </si>
  <si>
    <t>Karan Choudhary</t>
  </si>
  <si>
    <t>STD-1063</t>
  </si>
  <si>
    <t>Karan Sharma</t>
  </si>
  <si>
    <t>STD-1064</t>
  </si>
  <si>
    <t>STD-1065</t>
  </si>
  <si>
    <t>Karan Nair</t>
  </si>
  <si>
    <t>STD-1066</t>
  </si>
  <si>
    <t>Kavya Yadav</t>
  </si>
  <si>
    <t>STD-1067</t>
  </si>
  <si>
    <t>STD-1068</t>
  </si>
  <si>
    <t>Ritika Banerjee</t>
  </si>
  <si>
    <t>STD-1069</t>
  </si>
  <si>
    <t>Pooja Kulkarni</t>
  </si>
  <si>
    <t>STD-1070</t>
  </si>
  <si>
    <t>Tanvi Reddy</t>
  </si>
  <si>
    <t>STD-1071</t>
  </si>
  <si>
    <t>Vivaan Gupta</t>
  </si>
  <si>
    <t>STD-1072</t>
  </si>
  <si>
    <t>Arjun Iyer</t>
  </si>
  <si>
    <t>STD-1073</t>
  </si>
  <si>
    <t>Neha Patel</t>
  </si>
  <si>
    <t>STD-1074</t>
  </si>
  <si>
    <t>STD-1075</t>
  </si>
  <si>
    <t>STD-1076</t>
  </si>
  <si>
    <t>Sneha Verma</t>
  </si>
  <si>
    <t>STD-1077</t>
  </si>
  <si>
    <t>STD-1078</t>
  </si>
  <si>
    <t>Kavya Reddy</t>
  </si>
  <si>
    <t>STD-1079</t>
  </si>
  <si>
    <t>STD-1080</t>
  </si>
  <si>
    <t>Aarav Sharma</t>
  </si>
  <si>
    <t>STD-1081</t>
  </si>
  <si>
    <t>Vivaan Banerjee</t>
  </si>
  <si>
    <t>STD-1082</t>
  </si>
  <si>
    <t>Aditya Sharma</t>
  </si>
  <si>
    <t>STD-1083</t>
  </si>
  <si>
    <t>Priya Singh</t>
  </si>
  <si>
    <t>STD-1084</t>
  </si>
  <si>
    <t>Tanvi Kulkarni</t>
  </si>
  <si>
    <t>STD-1085</t>
  </si>
  <si>
    <t>Rohan Kulkarni</t>
  </si>
  <si>
    <t>STD-1086</t>
  </si>
  <si>
    <t>Sai Yadav</t>
  </si>
  <si>
    <t>STD-1087</t>
  </si>
  <si>
    <t>STD-1088</t>
  </si>
  <si>
    <t>STD-1089</t>
  </si>
  <si>
    <t>Simran Sharma</t>
  </si>
  <si>
    <t>STD-1090</t>
  </si>
  <si>
    <t>Rahul Reddy</t>
  </si>
  <si>
    <t>STD-1091</t>
  </si>
  <si>
    <t>Karan Reddy</t>
  </si>
  <si>
    <t>STD-1092</t>
  </si>
  <si>
    <t>STD-1093</t>
  </si>
  <si>
    <t>Arjun Gupta</t>
  </si>
  <si>
    <t>STD-1094</t>
  </si>
  <si>
    <t>Rohan Nair</t>
  </si>
  <si>
    <t>STD-1095</t>
  </si>
  <si>
    <t>Meera Kulkarni</t>
  </si>
  <si>
    <t>STD-1096</t>
  </si>
  <si>
    <t>STD-1097</t>
  </si>
  <si>
    <t>Priya Banerjee</t>
  </si>
  <si>
    <t>STD-1098</t>
  </si>
  <si>
    <t>STD-1099</t>
  </si>
  <si>
    <t>Sneha Iyer</t>
  </si>
  <si>
    <t>STD-1100</t>
  </si>
  <si>
    <t>STD-1101</t>
  </si>
  <si>
    <t>Meera Choudhary</t>
  </si>
  <si>
    <t>STD-1102</t>
  </si>
  <si>
    <t>Meera Kaur</t>
  </si>
  <si>
    <t>STD-1103</t>
  </si>
  <si>
    <t>Arjun Choudhary</t>
  </si>
  <si>
    <t>STD-1104</t>
  </si>
  <si>
    <t>Ananya Choudhary</t>
  </si>
  <si>
    <t>STD-1105</t>
  </si>
  <si>
    <t>Aditya Verma</t>
  </si>
  <si>
    <t>STD-1106</t>
  </si>
  <si>
    <t>Ritika Iyer</t>
  </si>
  <si>
    <t>STD-1107</t>
  </si>
  <si>
    <t>Vivaan Reddy</t>
  </si>
  <si>
    <t>STD-1108</t>
  </si>
  <si>
    <t>Pooja Nair</t>
  </si>
  <si>
    <t>STD-1109</t>
  </si>
  <si>
    <t>Rahul Kulkarni</t>
  </si>
  <si>
    <t>STD-1110</t>
  </si>
  <si>
    <t>Ishita Iyer</t>
  </si>
  <si>
    <t>STD-1111</t>
  </si>
  <si>
    <t>Neha Singh</t>
  </si>
  <si>
    <t>STD-1112</t>
  </si>
  <si>
    <t>Meera Yadav</t>
  </si>
  <si>
    <t>STD-1113</t>
  </si>
  <si>
    <t>STD-1114</t>
  </si>
  <si>
    <t>Rahul Yadav</t>
  </si>
  <si>
    <t>STD-1115</t>
  </si>
  <si>
    <t>Sai Singh</t>
  </si>
  <si>
    <t>STD-1116</t>
  </si>
  <si>
    <t>Shreya Jain</t>
  </si>
  <si>
    <t>STD-1117</t>
  </si>
  <si>
    <t>STD-1118</t>
  </si>
  <si>
    <t>STD-1119</t>
  </si>
  <si>
    <t>Rohan Gupta</t>
  </si>
  <si>
    <t>STD-1120</t>
  </si>
  <si>
    <t>Rahul Verma</t>
  </si>
  <si>
    <t>STD-1121</t>
  </si>
  <si>
    <t>STD-1122</t>
  </si>
  <si>
    <t>STD-1123</t>
  </si>
  <si>
    <t>Arjun Kaur</t>
  </si>
  <si>
    <t>STD-1124</t>
  </si>
  <si>
    <t>STD-1125</t>
  </si>
  <si>
    <t>Meera Nair</t>
  </si>
  <si>
    <t>STD-1126</t>
  </si>
  <si>
    <t>Simran Jain</t>
  </si>
  <si>
    <t>STD-1127</t>
  </si>
  <si>
    <t>Rohan Iyer</t>
  </si>
  <si>
    <t>STD-1128</t>
  </si>
  <si>
    <t>Simran Patel</t>
  </si>
  <si>
    <t>STD-1129</t>
  </si>
  <si>
    <t>STD-1130</t>
  </si>
  <si>
    <t>Rahul Choudhary</t>
  </si>
  <si>
    <t>STD-1131</t>
  </si>
  <si>
    <t>Sai Sharma</t>
  </si>
  <si>
    <t>STD-1132</t>
  </si>
  <si>
    <t>STD-1133</t>
  </si>
  <si>
    <t>STD-1134</t>
  </si>
  <si>
    <t>Aarav Gupta</t>
  </si>
  <si>
    <t>STD-1135</t>
  </si>
  <si>
    <t>STD-1136</t>
  </si>
  <si>
    <t>Ritika Verma</t>
  </si>
  <si>
    <t>STD-1137</t>
  </si>
  <si>
    <t>Neha Verma</t>
  </si>
  <si>
    <t>STD-1138</t>
  </si>
  <si>
    <t>Vivaan Iyer</t>
  </si>
  <si>
    <t>STD-1139</t>
  </si>
  <si>
    <t>Sai Jain</t>
  </si>
  <si>
    <t>STD-1140</t>
  </si>
  <si>
    <t>Neha Kulkarni</t>
  </si>
  <si>
    <t>STD-1141</t>
  </si>
  <si>
    <t>Aarav Yadav</t>
  </si>
  <si>
    <t>STD-1142</t>
  </si>
  <si>
    <t>Ishita Reddy</t>
  </si>
  <si>
    <t>STD-1143</t>
  </si>
  <si>
    <t>Arjun Patel</t>
  </si>
  <si>
    <t>STD-1144</t>
  </si>
  <si>
    <t>STD-1145</t>
  </si>
  <si>
    <t>STD-1146</t>
  </si>
  <si>
    <t>Kavya Iyer</t>
  </si>
  <si>
    <t>STD-1147</t>
  </si>
  <si>
    <t>Priya Das</t>
  </si>
  <si>
    <t>STD-1148</t>
  </si>
  <si>
    <t>Kavya Choudhary</t>
  </si>
  <si>
    <t>STD-1149</t>
  </si>
  <si>
    <t>Tanvi Banerjee</t>
  </si>
  <si>
    <t>STD-1150</t>
  </si>
  <si>
    <t>STD-1151</t>
  </si>
  <si>
    <t>Neha Banerjee</t>
  </si>
  <si>
    <t>STD-1152</t>
  </si>
  <si>
    <t>Neha Nair</t>
  </si>
  <si>
    <t>STD-1153</t>
  </si>
  <si>
    <t>STD-1154</t>
  </si>
  <si>
    <t>Ishita Choudhary</t>
  </si>
  <si>
    <t>STD-1155</t>
  </si>
  <si>
    <t>Tanvi Verma</t>
  </si>
  <si>
    <t>STD-1156</t>
  </si>
  <si>
    <t>Tanvi Yadav</t>
  </si>
  <si>
    <t>STD-1157</t>
  </si>
  <si>
    <t>Aarav Iyer</t>
  </si>
  <si>
    <t>STD-1158</t>
  </si>
  <si>
    <t>STD-1159</t>
  </si>
  <si>
    <t>Karan Kaur</t>
  </si>
  <si>
    <t>STD-1160</t>
  </si>
  <si>
    <t>Shreya Choudhary</t>
  </si>
  <si>
    <t>STD-1161</t>
  </si>
  <si>
    <t>STD-1162</t>
  </si>
  <si>
    <t>STD-1163</t>
  </si>
  <si>
    <t>Kavya Jain</t>
  </si>
  <si>
    <t>STD-1164</t>
  </si>
  <si>
    <t>Neha Choudhary</t>
  </si>
  <si>
    <t>STD-1165</t>
  </si>
  <si>
    <t>Sneha Sharma</t>
  </si>
  <si>
    <t>STD-1166</t>
  </si>
  <si>
    <t>Priya Iyer</t>
  </si>
  <si>
    <t>STD-1167</t>
  </si>
  <si>
    <t>STD-1168</t>
  </si>
  <si>
    <t>Aditya Kulkarni</t>
  </si>
  <si>
    <t>STD-1169</t>
  </si>
  <si>
    <t>Karan Banerjee</t>
  </si>
  <si>
    <t>STD-1170</t>
  </si>
  <si>
    <t>STD-1171</t>
  </si>
  <si>
    <t>Vivaan Das</t>
  </si>
  <si>
    <t>STD-1172</t>
  </si>
  <si>
    <t>Rohan Das</t>
  </si>
  <si>
    <t>STD-1173</t>
  </si>
  <si>
    <t>STD-1174</t>
  </si>
  <si>
    <t>STD-1175</t>
  </si>
  <si>
    <t>Rahul Sharma</t>
  </si>
  <si>
    <t>STD-1176</t>
  </si>
  <si>
    <t>STD-1177</t>
  </si>
  <si>
    <t>Meera Jain</t>
  </si>
  <si>
    <t>STD-1178</t>
  </si>
  <si>
    <t>Ritika Singh</t>
  </si>
  <si>
    <t>STD-1179</t>
  </si>
  <si>
    <t>Ishita Sharma</t>
  </si>
  <si>
    <t>STD-1180</t>
  </si>
  <si>
    <t>STD-1181</t>
  </si>
  <si>
    <t>STD-1182</t>
  </si>
  <si>
    <t>Vivaan Kulkarni</t>
  </si>
  <si>
    <t>STD-1183</t>
  </si>
  <si>
    <t>STD-1184</t>
  </si>
  <si>
    <t>Karan Yadav</t>
  </si>
  <si>
    <t>STD-1185</t>
  </si>
  <si>
    <t>Vivaan Kaur</t>
  </si>
  <si>
    <t>STD-1186</t>
  </si>
  <si>
    <t>Tanvi Nair</t>
  </si>
  <si>
    <t>STD-1187</t>
  </si>
  <si>
    <t>Ritika Gupta</t>
  </si>
  <si>
    <t>STD-1188</t>
  </si>
  <si>
    <t>STD-1189</t>
  </si>
  <si>
    <t>Kavya Patel</t>
  </si>
  <si>
    <t>STD-1190</t>
  </si>
  <si>
    <t>Aarav Choudhary</t>
  </si>
  <si>
    <t>STD-1191</t>
  </si>
  <si>
    <t>STD-1192</t>
  </si>
  <si>
    <t>Neha Jain</t>
  </si>
  <si>
    <t>STD-1193</t>
  </si>
  <si>
    <t>Pooja Iyer</t>
  </si>
  <si>
    <t>STD-1194</t>
  </si>
  <si>
    <t>Aarav Patel</t>
  </si>
  <si>
    <t>STD-1195</t>
  </si>
  <si>
    <t>Aditya Das</t>
  </si>
  <si>
    <t>STD-1196</t>
  </si>
  <si>
    <t>Kavya Nair</t>
  </si>
  <si>
    <t>STD-1197</t>
  </si>
  <si>
    <t>STD-1198</t>
  </si>
  <si>
    <t>Arjun Yadav</t>
  </si>
  <si>
    <t>STD-1199</t>
  </si>
  <si>
    <t>Ritika Das</t>
  </si>
  <si>
    <t>STD-1200</t>
  </si>
  <si>
    <t>STD-1201</t>
  </si>
  <si>
    <t>Tanvi Patel</t>
  </si>
  <si>
    <t>STD-1202</t>
  </si>
  <si>
    <t>Priya Nair</t>
  </si>
  <si>
    <t>STD-1203</t>
  </si>
  <si>
    <t>STD-1204</t>
  </si>
  <si>
    <t>STD-1205</t>
  </si>
  <si>
    <t>STD-1206</t>
  </si>
  <si>
    <t>STD-1207</t>
  </si>
  <si>
    <t>Shreya Gupta</t>
  </si>
  <si>
    <t>STD-1208</t>
  </si>
  <si>
    <t>STD-1209</t>
  </si>
  <si>
    <t>Sai Kaur</t>
  </si>
  <si>
    <t>STD-1210</t>
  </si>
  <si>
    <t>STD-1211</t>
  </si>
  <si>
    <t>Simran Nair</t>
  </si>
  <si>
    <t>STD-1212</t>
  </si>
  <si>
    <t>Neha Sharma</t>
  </si>
  <si>
    <t>STD-1213</t>
  </si>
  <si>
    <t>STD-1214</t>
  </si>
  <si>
    <t>STD-1215</t>
  </si>
  <si>
    <t>Priya Reddy</t>
  </si>
  <si>
    <t>STD-1216</t>
  </si>
  <si>
    <t>STD-1217</t>
  </si>
  <si>
    <t>STD-1218</t>
  </si>
  <si>
    <t>STD-1219</t>
  </si>
  <si>
    <t>STD-1220</t>
  </si>
  <si>
    <t>STD-1221</t>
  </si>
  <si>
    <t>STD-1222</t>
  </si>
  <si>
    <t>STD-1223</t>
  </si>
  <si>
    <t>Rohan Choudhary</t>
  </si>
  <si>
    <t>STD-1224</t>
  </si>
  <si>
    <t>Ananya Jain</t>
  </si>
  <si>
    <t>STD-1225</t>
  </si>
  <si>
    <t>STD-1226</t>
  </si>
  <si>
    <t>Kavya Das</t>
  </si>
  <si>
    <t>STD-1227</t>
  </si>
  <si>
    <t>Sneha Nair</t>
  </si>
  <si>
    <t>STD-1228</t>
  </si>
  <si>
    <t>STD-1229</t>
  </si>
  <si>
    <t>Simran Singh</t>
  </si>
  <si>
    <t>STD-1230</t>
  </si>
  <si>
    <t>Rahul Das</t>
  </si>
  <si>
    <t>STD-1231</t>
  </si>
  <si>
    <t>STD-1232</t>
  </si>
  <si>
    <t>STD-1233</t>
  </si>
  <si>
    <t>STD-1234</t>
  </si>
  <si>
    <t>Priya Verma</t>
  </si>
  <si>
    <t>STD-1235</t>
  </si>
  <si>
    <t>Aditya Nair</t>
  </si>
  <si>
    <t>STD-1236</t>
  </si>
  <si>
    <t>STD-1237</t>
  </si>
  <si>
    <t>STD-1238</t>
  </si>
  <si>
    <t>Pooja Yadav</t>
  </si>
  <si>
    <t>STD-1239</t>
  </si>
  <si>
    <t>Meera Reddy</t>
  </si>
  <si>
    <t>STD-1240</t>
  </si>
  <si>
    <t>STD-1241</t>
  </si>
  <si>
    <t>STD-1242</t>
  </si>
  <si>
    <t>STD-1243</t>
  </si>
  <si>
    <t>Aarav Das</t>
  </si>
  <si>
    <t>STD-1244</t>
  </si>
  <si>
    <t>STD-1245</t>
  </si>
  <si>
    <t>Rohan Verma</t>
  </si>
  <si>
    <t>STD-1246</t>
  </si>
  <si>
    <t>STD-1247</t>
  </si>
  <si>
    <t>STD-1248</t>
  </si>
  <si>
    <t>STD-1249</t>
  </si>
  <si>
    <t>Rahul Iyer</t>
  </si>
  <si>
    <t>STD-1250</t>
  </si>
  <si>
    <t>STD-1251</t>
  </si>
  <si>
    <t>STD-1252</t>
  </si>
  <si>
    <t>Simran Choudhary</t>
  </si>
  <si>
    <t>STD-1253</t>
  </si>
  <si>
    <t>Ishita Singh</t>
  </si>
  <si>
    <t>STD-1254</t>
  </si>
  <si>
    <t>Aarav Singh</t>
  </si>
  <si>
    <t>STD-1255</t>
  </si>
  <si>
    <t>STD-1256</t>
  </si>
  <si>
    <t>STD-1257</t>
  </si>
  <si>
    <t>Aarav Jain</t>
  </si>
  <si>
    <t>STD-1258</t>
  </si>
  <si>
    <t>STD-1259</t>
  </si>
  <si>
    <t>STD-1260</t>
  </si>
  <si>
    <t>Sai Das</t>
  </si>
  <si>
    <t>STD-1261</t>
  </si>
  <si>
    <t>STD-1262</t>
  </si>
  <si>
    <t>STD-1263</t>
  </si>
  <si>
    <t>Tanvi Jain</t>
  </si>
  <si>
    <t>STD-1264</t>
  </si>
  <si>
    <t>STD-1265</t>
  </si>
  <si>
    <t>STD-1266</t>
  </si>
  <si>
    <t>STD-1267</t>
  </si>
  <si>
    <t>STD-1268</t>
  </si>
  <si>
    <t>STD-1269</t>
  </si>
  <si>
    <t>STD-1270</t>
  </si>
  <si>
    <t>STD-1271</t>
  </si>
  <si>
    <t>STD-1272</t>
  </si>
  <si>
    <t>STD-1273</t>
  </si>
  <si>
    <t>STD-1274</t>
  </si>
  <si>
    <t>STD-1275</t>
  </si>
  <si>
    <t>Meera Iyer</t>
  </si>
  <si>
    <t>STD-1276</t>
  </si>
  <si>
    <t>STD-1277</t>
  </si>
  <si>
    <t>STD-1278</t>
  </si>
  <si>
    <t>STD-1279</t>
  </si>
  <si>
    <t>STD-1280</t>
  </si>
  <si>
    <t>STD-1281</t>
  </si>
  <si>
    <t>Neha Das</t>
  </si>
  <si>
    <t>STD-1282</t>
  </si>
  <si>
    <t>Arjun Jain</t>
  </si>
  <si>
    <t>STD-1283</t>
  </si>
  <si>
    <t>STD-1284</t>
  </si>
  <si>
    <t>STD-1285</t>
  </si>
  <si>
    <t>STD-1286</t>
  </si>
  <si>
    <t>Sai Patel</t>
  </si>
  <si>
    <t>STD-1287</t>
  </si>
  <si>
    <t>STD-1288</t>
  </si>
  <si>
    <t>Rohan Jain</t>
  </si>
  <si>
    <t>STD-1289</t>
  </si>
  <si>
    <t>STD-1290</t>
  </si>
  <si>
    <t>Sneha Patel</t>
  </si>
  <si>
    <t>STD-1291</t>
  </si>
  <si>
    <t>STD-1292</t>
  </si>
  <si>
    <t>STD-1293</t>
  </si>
  <si>
    <t>STD-1294</t>
  </si>
  <si>
    <t>STD-1295</t>
  </si>
  <si>
    <t>Sneha Singh</t>
  </si>
  <si>
    <t>STD-1296</t>
  </si>
  <si>
    <t>Pooja Sharma</t>
  </si>
  <si>
    <t>STD-1297</t>
  </si>
  <si>
    <t>Vivaan Choudhary</t>
  </si>
  <si>
    <t>STD-1298</t>
  </si>
  <si>
    <t>STD-1299</t>
  </si>
  <si>
    <t>Shreya Kaur</t>
  </si>
  <si>
    <t>STD-1300</t>
  </si>
  <si>
    <t>Rohan Kaur</t>
  </si>
  <si>
    <t>STD-1301</t>
  </si>
  <si>
    <t>STD-1302</t>
  </si>
  <si>
    <t>Vivaan Nair</t>
  </si>
  <si>
    <t>STD-1303</t>
  </si>
  <si>
    <t>STD-1304</t>
  </si>
  <si>
    <t>STD-1305</t>
  </si>
  <si>
    <t>Vivaan Singh</t>
  </si>
  <si>
    <t>STD-1306</t>
  </si>
  <si>
    <t>STD-1307</t>
  </si>
  <si>
    <t>STD-1308</t>
  </si>
  <si>
    <t>Pooja Das</t>
  </si>
  <si>
    <t>STD-1309</t>
  </si>
  <si>
    <t>STD-1310</t>
  </si>
  <si>
    <t>Karan Das</t>
  </si>
  <si>
    <t>STD-1311</t>
  </si>
  <si>
    <t>Meera Das</t>
  </si>
  <si>
    <t>STD-1312</t>
  </si>
  <si>
    <t>STD-1313</t>
  </si>
  <si>
    <t>STD-1314</t>
  </si>
  <si>
    <t>STD-1315</t>
  </si>
  <si>
    <t>STD-1316</t>
  </si>
  <si>
    <t>Sai Choudhary</t>
  </si>
  <si>
    <t>STD-1317</t>
  </si>
  <si>
    <t>STD-1318</t>
  </si>
  <si>
    <t>Vivaan Yadav</t>
  </si>
  <si>
    <t>STD-1319</t>
  </si>
  <si>
    <t>Ritika Choudhary</t>
  </si>
  <si>
    <t>STD-1320</t>
  </si>
  <si>
    <t>STD-1321</t>
  </si>
  <si>
    <t>STD-1322</t>
  </si>
  <si>
    <t>STD-1323</t>
  </si>
  <si>
    <t>STD-1324</t>
  </si>
  <si>
    <t>Vivaan Patel</t>
  </si>
  <si>
    <t>STD-1325</t>
  </si>
  <si>
    <t>STD-1326</t>
  </si>
  <si>
    <t>STD-1327</t>
  </si>
  <si>
    <t>STD-1328</t>
  </si>
  <si>
    <t>Tanvi Gupta</t>
  </si>
  <si>
    <t>STD-1329</t>
  </si>
  <si>
    <t>STD-1330</t>
  </si>
  <si>
    <t>Pooja Patel</t>
  </si>
  <si>
    <t>STD-1331</t>
  </si>
  <si>
    <t>STD-1332</t>
  </si>
  <si>
    <t>STD-1333</t>
  </si>
  <si>
    <t>STD-1334</t>
  </si>
  <si>
    <t>STD-1335</t>
  </si>
  <si>
    <t>Shreya Iyer</t>
  </si>
  <si>
    <t>STD-1336</t>
  </si>
  <si>
    <t>Ritika Sharma</t>
  </si>
  <si>
    <t>STD-1337</t>
  </si>
  <si>
    <t>STD-1338</t>
  </si>
  <si>
    <t>STD-1339</t>
  </si>
  <si>
    <t>Simran Das</t>
  </si>
  <si>
    <t>STD-1340</t>
  </si>
  <si>
    <t>STD-1341</t>
  </si>
  <si>
    <t>STD-1342</t>
  </si>
  <si>
    <t>Simran Banerjee</t>
  </si>
  <si>
    <t>STD-1343</t>
  </si>
  <si>
    <t>Simran Yadav</t>
  </si>
  <si>
    <t>STD-1344</t>
  </si>
  <si>
    <t>STD-1345</t>
  </si>
  <si>
    <t>STD-1346</t>
  </si>
  <si>
    <t>Sneha Kaur</t>
  </si>
  <si>
    <t>STD-1347</t>
  </si>
  <si>
    <t>Tanvi Kaur</t>
  </si>
  <si>
    <t>STD-1348</t>
  </si>
  <si>
    <t>STD-1349</t>
  </si>
  <si>
    <t>STD-1350</t>
  </si>
  <si>
    <t>STD-1351</t>
  </si>
  <si>
    <t>STD-1352</t>
  </si>
  <si>
    <t>STD-1353</t>
  </si>
  <si>
    <t>Ananya Sharma</t>
  </si>
  <si>
    <t>STD-1354</t>
  </si>
  <si>
    <t>STD-1355</t>
  </si>
  <si>
    <t>STD-1356</t>
  </si>
  <si>
    <t>STD-1357</t>
  </si>
  <si>
    <t>STD-1358</t>
  </si>
  <si>
    <t>Sneha Banerjee</t>
  </si>
  <si>
    <t>STD-1359</t>
  </si>
  <si>
    <t>STD-1360</t>
  </si>
  <si>
    <t>STD-1361</t>
  </si>
  <si>
    <t>STD-1362</t>
  </si>
  <si>
    <t>STD-1363</t>
  </si>
  <si>
    <t>STD-1364</t>
  </si>
  <si>
    <t>STD-1365</t>
  </si>
  <si>
    <t>STD-1366</t>
  </si>
  <si>
    <t>STD-1367</t>
  </si>
  <si>
    <t>Arjun Sharma</t>
  </si>
  <si>
    <t>STD-1368</t>
  </si>
  <si>
    <t>STD-1369</t>
  </si>
  <si>
    <t>Ishita Verma</t>
  </si>
  <si>
    <t>STD-1370</t>
  </si>
  <si>
    <t>STD-1371</t>
  </si>
  <si>
    <t>STD-1372</t>
  </si>
  <si>
    <t>STD-1373</t>
  </si>
  <si>
    <t>STD-1374</t>
  </si>
  <si>
    <t>STD-1375</t>
  </si>
  <si>
    <t>STD-1376</t>
  </si>
  <si>
    <t>STD-1377</t>
  </si>
  <si>
    <t>Shreya Reddy</t>
  </si>
  <si>
    <t>STD-1378</t>
  </si>
  <si>
    <t>Ritika Patel</t>
  </si>
  <si>
    <t>STD-1379</t>
  </si>
  <si>
    <t>STD-1380</t>
  </si>
  <si>
    <t>Rohan Yadav</t>
  </si>
  <si>
    <t>STD-1381</t>
  </si>
  <si>
    <t>Ritika Kaur</t>
  </si>
  <si>
    <t>STD-1382</t>
  </si>
  <si>
    <t>STD-1383</t>
  </si>
  <si>
    <t>Shreya Das</t>
  </si>
  <si>
    <t>STD-1384</t>
  </si>
  <si>
    <t>STD-1385</t>
  </si>
  <si>
    <t>STD-1386</t>
  </si>
  <si>
    <t>STD-1387</t>
  </si>
  <si>
    <t>Aditya Banerjee</t>
  </si>
  <si>
    <t>STD-1388</t>
  </si>
  <si>
    <t>Simran Reddy</t>
  </si>
  <si>
    <t>STD-1389</t>
  </si>
  <si>
    <t>STD-1390</t>
  </si>
  <si>
    <t>STD-1391</t>
  </si>
  <si>
    <t>Sneha Jain</t>
  </si>
  <si>
    <t>STD-1392</t>
  </si>
  <si>
    <t>Arjun Das</t>
  </si>
  <si>
    <t>STD-1393</t>
  </si>
  <si>
    <t>STD-1394</t>
  </si>
  <si>
    <t>STD-1395</t>
  </si>
  <si>
    <t>STD-1396</t>
  </si>
  <si>
    <t>Arjun Nair</t>
  </si>
  <si>
    <t>Fail</t>
  </si>
  <si>
    <t>STD-1397</t>
  </si>
  <si>
    <t>STD-1398</t>
  </si>
  <si>
    <t>STD-1399</t>
  </si>
  <si>
    <t>STD-1400</t>
  </si>
  <si>
    <t>STD-1401</t>
  </si>
  <si>
    <t>STD-1402</t>
  </si>
  <si>
    <t>STD-1403</t>
  </si>
  <si>
    <t>STD-1404</t>
  </si>
  <si>
    <t>STD-1405</t>
  </si>
  <si>
    <t>STD-1406</t>
  </si>
  <si>
    <t>STD-1407</t>
  </si>
  <si>
    <t>STD-1408</t>
  </si>
  <si>
    <t>STD-1409</t>
  </si>
  <si>
    <t>STD-1410</t>
  </si>
  <si>
    <t>STD-1411</t>
  </si>
  <si>
    <t>STD-1412</t>
  </si>
  <si>
    <t>STD-1413</t>
  </si>
  <si>
    <t>STD-1414</t>
  </si>
  <si>
    <t>STD-1415</t>
  </si>
  <si>
    <t>STD-1416</t>
  </si>
  <si>
    <t>STD-1417</t>
  </si>
  <si>
    <t>STD-1418</t>
  </si>
  <si>
    <t>STD-1419</t>
  </si>
  <si>
    <t>STD-1420</t>
  </si>
  <si>
    <t>STD-1421</t>
  </si>
  <si>
    <t>STD-1422</t>
  </si>
  <si>
    <t>STD-1423</t>
  </si>
  <si>
    <t>STD-1424</t>
  </si>
  <si>
    <t>STD-1425</t>
  </si>
  <si>
    <t>STD-1426</t>
  </si>
  <si>
    <t>Aarav Nair</t>
  </si>
  <si>
    <t>STD-1427</t>
  </si>
  <si>
    <t>STD-1428</t>
  </si>
  <si>
    <t>STD-1429</t>
  </si>
  <si>
    <t>STD-1430</t>
  </si>
  <si>
    <t>STD-1431</t>
  </si>
  <si>
    <t>Ananya Gupta</t>
  </si>
  <si>
    <t>STD-1432</t>
  </si>
  <si>
    <t>STD-1433</t>
  </si>
  <si>
    <t>STD-1434</t>
  </si>
  <si>
    <t>STD-1435</t>
  </si>
  <si>
    <t>STD-1436</t>
  </si>
  <si>
    <t>Sneha Reddy</t>
  </si>
  <si>
    <t>STD-1437</t>
  </si>
  <si>
    <t>Neha Gupta</t>
  </si>
  <si>
    <t>STD-1438</t>
  </si>
  <si>
    <t>STD-1439</t>
  </si>
  <si>
    <t>STD-1440</t>
  </si>
  <si>
    <t>STD-1441</t>
  </si>
  <si>
    <t>STD-1442</t>
  </si>
  <si>
    <t>Karan Jain</t>
  </si>
  <si>
    <t>STD-1443</t>
  </si>
  <si>
    <t>Sneha Kulkarni</t>
  </si>
  <si>
    <t>STD-1444</t>
  </si>
  <si>
    <t>STD-1445</t>
  </si>
  <si>
    <t>STD-1446</t>
  </si>
  <si>
    <t>Rohan Banerjee</t>
  </si>
  <si>
    <t>STD-1447</t>
  </si>
  <si>
    <t>STD-1448</t>
  </si>
  <si>
    <t>STD-1449</t>
  </si>
  <si>
    <t>STD-1450</t>
  </si>
  <si>
    <t>STD-1451</t>
  </si>
  <si>
    <t>Tanvi Das</t>
  </si>
  <si>
    <t>STD-1452</t>
  </si>
  <si>
    <t>Karan Gupta</t>
  </si>
  <si>
    <t>STD-1453</t>
  </si>
  <si>
    <t>STD-1454</t>
  </si>
  <si>
    <t>STD-1455</t>
  </si>
  <si>
    <t>STD-1456</t>
  </si>
  <si>
    <t>STD-1457</t>
  </si>
  <si>
    <t>STD-1458</t>
  </si>
  <si>
    <t>STD-1459</t>
  </si>
  <si>
    <t>STD-1460</t>
  </si>
  <si>
    <t>STD-1461</t>
  </si>
  <si>
    <t>STD-1462</t>
  </si>
  <si>
    <t>STD-1463</t>
  </si>
  <si>
    <t>STD-1464</t>
  </si>
  <si>
    <t>STD-1465</t>
  </si>
  <si>
    <t>Shreya Patel</t>
  </si>
  <si>
    <t>STD-1466</t>
  </si>
  <si>
    <t>STD-1467</t>
  </si>
  <si>
    <t>STD-1468</t>
  </si>
  <si>
    <t>STD-1469</t>
  </si>
  <si>
    <t>STD-1470</t>
  </si>
  <si>
    <t>STD-1471</t>
  </si>
  <si>
    <t>STD-1472</t>
  </si>
  <si>
    <t>STD-1473</t>
  </si>
  <si>
    <t>STD-1474</t>
  </si>
  <si>
    <t>STD-1475</t>
  </si>
  <si>
    <t>STD-1476</t>
  </si>
  <si>
    <t>Kavya Singh</t>
  </si>
  <si>
    <t>STD-1477</t>
  </si>
  <si>
    <t>STD-1478</t>
  </si>
  <si>
    <t>STD-1479</t>
  </si>
  <si>
    <t>STD-1480</t>
  </si>
  <si>
    <t>STD-1481</t>
  </si>
  <si>
    <t>Ritika Jain</t>
  </si>
  <si>
    <t>STD-1482</t>
  </si>
  <si>
    <t>STD-1483</t>
  </si>
  <si>
    <t>STD-1484</t>
  </si>
  <si>
    <t>STD-1485</t>
  </si>
  <si>
    <t>Tanvi Sharma</t>
  </si>
  <si>
    <t>STD-1486</t>
  </si>
  <si>
    <t>STD-1487</t>
  </si>
  <si>
    <t>STD-1488</t>
  </si>
  <si>
    <t>STD-1489</t>
  </si>
  <si>
    <t>STD-1490</t>
  </si>
  <si>
    <t>Pooja Reddy</t>
  </si>
  <si>
    <t>STD-1491</t>
  </si>
  <si>
    <t>STD-1492</t>
  </si>
  <si>
    <t>STD-1493</t>
  </si>
  <si>
    <t>STD-1494</t>
  </si>
  <si>
    <t>Meera Banerjee</t>
  </si>
  <si>
    <t>STD-1495</t>
  </si>
  <si>
    <t>STD-1496</t>
  </si>
  <si>
    <t>STD-1497</t>
  </si>
  <si>
    <t>STD-1498</t>
  </si>
  <si>
    <t>STD-1499</t>
  </si>
  <si>
    <t>STD-1500</t>
  </si>
  <si>
    <t>1. Total Number Of Student In Dataset :</t>
  </si>
  <si>
    <t>2.. Count how many students belong to each Class:</t>
  </si>
  <si>
    <t>COUNTA of Student_ID</t>
  </si>
  <si>
    <t>Grand Total</t>
  </si>
  <si>
    <t>3. Identify how many students are from each City:</t>
  </si>
  <si>
    <t>4. Count students who scored more than 75 marks in Maths:</t>
  </si>
  <si>
    <t>5. Find how many students have Attendance greater than 90%:</t>
  </si>
  <si>
    <t>6. Count students who are Female and studying in Class 10:</t>
  </si>
  <si>
    <t>7. Find the number of students who passed but have Attendance below 75%:</t>
  </si>
  <si>
    <t>8. Count students who scored above 80 in both Maths and Science:</t>
  </si>
  <si>
    <t>9. Identify how many students belong to Section A in Class 9:</t>
  </si>
  <si>
    <t>10. Calculate the total marks obtained by students from Delhi.:</t>
  </si>
  <si>
    <t>11. Find total Maths marks for students of Class 8:</t>
  </si>
  <si>
    <t>12. Calculate total marks of Female students from Mumbai:</t>
  </si>
  <si>
    <t>13. Find the total attendance of students in Section B:</t>
  </si>
  <si>
    <t>14. Calculate the average percentage of students in Class 10:</t>
  </si>
  <si>
    <t>15. Find average marks in English for Male students:</t>
  </si>
  <si>
    <t>16. Calculate average percentage of students from Jaipur:</t>
  </si>
  <si>
    <t>17. Find average attendance of students who passed:</t>
  </si>
  <si>
    <t xml:space="preserve"> Categorize students as “Topper” if percentage is above 85, otherwise “Average”:</t>
  </si>
  <si>
    <t>19. Identify students with low attendance (below 70%):</t>
  </si>
  <si>
    <t>20. Flag students who failed in any subject (marks below 40 in any subject).</t>
  </si>
  <si>
    <t>21. Retrieve full details of a student using their Student ID:</t>
  </si>
  <si>
    <t>22. Fetch the percentage of a specific student using their ID:</t>
  </si>
  <si>
    <t>23. Retrieve the city of a student using Student ID:</t>
  </si>
  <si>
    <t>24. Display all students whose percentage is greater than 80.:</t>
  </si>
  <si>
    <t>25. Show only Female students from Class 9:</t>
  </si>
  <si>
    <t xml:space="preserve">26. Generate a summary showing average percentage for each Class: </t>
  </si>
  <si>
    <t>AVERAGE of Percentage</t>
  </si>
  <si>
    <t>27. Generate a report showing total students in each City:</t>
  </si>
  <si>
    <t>28. Count how many unique cities are present in the dataset:</t>
  </si>
  <si>
    <t>29. Identify if any student record has missing values:</t>
  </si>
  <si>
    <t>30. Create a report showing total number of Pass and Fail students: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</si>
</sst>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B7E1CD"/>
        <bgColor rgb="FFB7E1CD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Fill="1" applyFont="1"/>
    <xf borderId="0" fillId="3" fontId="2" numFmtId="0" xfId="0" applyAlignment="1" applyFont="1">
      <alignment readingOrder="0"/>
    </xf>
    <xf borderId="0" fillId="0" fontId="2" numFmtId="0" xfId="0" applyFont="1"/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2" xfId="0" applyFont="1" applyNumberFormat="1"/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2" numFmtId="0" xfId="0" applyAlignment="1" applyFill="1" applyFont="1">
      <alignment readingOrder="0"/>
    </xf>
    <xf borderId="0" fillId="6" fontId="2" numFmtId="0" xfId="0" applyFont="1"/>
    <xf borderId="0" fillId="7" fontId="1" numFmtId="0" xfId="0" applyAlignment="1" applyFill="1" applyFont="1">
      <alignment readingOrder="0"/>
    </xf>
    <xf borderId="0" fillId="8" fontId="2" numFmtId="0" xfId="0" applyFill="1" applyFont="1"/>
    <xf borderId="0" fillId="9" fontId="2" numFmtId="0" xfId="0" applyFill="1" applyFont="1"/>
    <xf borderId="0" fillId="9" fontId="2" numFmtId="0" xfId="0" applyAlignment="1" applyFont="1">
      <alignment readingOrder="0"/>
    </xf>
    <xf borderId="0" fillId="10" fontId="2" numFmtId="0" xfId="0" applyFill="1" applyFont="1"/>
    <xf borderId="0" fillId="10" fontId="2" numFmtId="0" xfId="0" applyAlignment="1" applyFont="1">
      <alignment readingOrder="0"/>
    </xf>
    <xf borderId="0" fillId="7" fontId="1" numFmtId="0" xfId="0" applyFont="1"/>
    <xf borderId="0" fillId="11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5" fontId="1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8">
    <tableStyle count="3" pivot="0" name="Student_Data-style">
      <tableStyleElement dxfId="1" type="headerRow"/>
      <tableStyleElement dxfId="2" type="firstRowStripe"/>
      <tableStyleElement dxfId="3" type="secondRowStripe"/>
    </tableStyle>
    <tableStyle count="3" pivot="0" name="Count-style">
      <tableStyleElement dxfId="1" type="headerRow"/>
      <tableStyleElement dxfId="2" type="firstRowStripe"/>
      <tableStyleElement dxfId="3" type="secondRowStripe"/>
    </tableStyle>
    <tableStyle count="3" pivot="0" name="Countif-style">
      <tableStyleElement dxfId="1" type="headerRow"/>
      <tableStyleElement dxfId="2" type="firstRowStripe"/>
      <tableStyleElement dxfId="3" type="secondRowStripe"/>
    </tableStyle>
    <tableStyle count="3" pivot="0" name="sumif-style">
      <tableStyleElement dxfId="1" type="headerRow"/>
      <tableStyleElement dxfId="2" type="firstRowStripe"/>
      <tableStyleElement dxfId="3" type="secondRowStripe"/>
    </tableStyle>
    <tableStyle count="3" pivot="0" name="Averageif-style">
      <tableStyleElement dxfId="1" type="headerRow"/>
      <tableStyleElement dxfId="2" type="firstRowStripe"/>
      <tableStyleElement dxfId="3" type="secondRowStripe"/>
    </tableStyle>
    <tableStyle count="3" pivot="0" name="Logic_If-style">
      <tableStyleElement dxfId="1" type="headerRow"/>
      <tableStyleElement dxfId="2" type="firstRowStripe"/>
      <tableStyleElement dxfId="3" type="secondRowStripe"/>
    </tableStyle>
    <tableStyle count="3" pivot="0" name="XLOOKUP -style">
      <tableStyleElement dxfId="1" type="headerRow"/>
      <tableStyleElement dxfId="2" type="firstRowStripe"/>
      <tableStyleElement dxfId="3" type="secondRowStripe"/>
    </tableStyle>
    <tableStyle count="3" pivot="0" name="Repor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501" sheet="Student_Data"/>
  </cacheSource>
  <cacheFields>
    <cacheField name="Student_ID" numFmtId="0">
      <sharedItems>
        <s v="STD-1001"/>
        <s v="STD-1002"/>
        <s v="STD-1003"/>
        <s v="STD-1004"/>
        <s v="STD-1005"/>
        <s v="STD-1006"/>
        <s v="STD-1007"/>
        <s v="STD-1008"/>
        <s v="STD-1009"/>
        <s v="STD-1010"/>
        <s v="STD-1011"/>
        <s v="STD-1012"/>
        <s v="STD-1013"/>
        <s v="STD-1014"/>
        <s v="STD-1015"/>
        <s v="STD-1016"/>
        <s v="STD-1017"/>
        <s v="STD-1018"/>
        <s v="STD-1019"/>
        <s v="STD-1020"/>
        <s v="STD-1021"/>
        <s v="STD-1022"/>
        <s v="STD-1023"/>
        <s v="STD-1024"/>
        <s v="STD-1025"/>
        <s v="STD-1026"/>
        <s v="STD-1027"/>
        <s v="STD-1028"/>
        <s v="STD-1029"/>
        <s v="STD-1030"/>
        <s v="STD-1031"/>
        <s v="STD-1032"/>
        <s v="STD-1033"/>
        <s v="STD-1034"/>
        <s v="STD-1035"/>
        <s v="STD-1036"/>
        <s v="STD-1037"/>
        <s v="STD-1038"/>
        <s v="STD-1039"/>
        <s v="STD-1040"/>
        <s v="STD-1041"/>
        <s v="STD-1042"/>
        <s v="STD-1043"/>
        <s v="STD-1044"/>
        <s v="STD-1045"/>
        <s v="STD-1046"/>
        <s v="STD-1047"/>
        <s v="STD-1048"/>
        <s v="STD-1049"/>
        <s v="STD-1050"/>
        <s v="STD-1051"/>
        <s v="STD-1052"/>
        <s v="STD-1053"/>
        <s v="STD-1054"/>
        <s v="STD-1055"/>
        <s v="STD-1056"/>
        <s v="STD-1057"/>
        <s v="STD-1058"/>
        <s v="STD-1059"/>
        <s v="STD-1060"/>
        <s v="STD-1061"/>
        <s v="STD-1062"/>
        <s v="STD-1063"/>
        <s v="STD-1064"/>
        <s v="STD-1065"/>
        <s v="STD-1066"/>
        <s v="STD-1067"/>
        <s v="STD-1068"/>
        <s v="STD-1069"/>
        <s v="STD-1070"/>
        <s v="STD-1071"/>
        <s v="STD-1072"/>
        <s v="STD-1073"/>
        <s v="STD-1074"/>
        <s v="STD-1075"/>
        <s v="STD-1076"/>
        <s v="STD-1077"/>
        <s v="STD-1078"/>
        <s v="STD-1079"/>
        <s v="STD-1080"/>
        <s v="STD-1081"/>
        <s v="STD-1082"/>
        <s v="STD-1083"/>
        <s v="STD-1084"/>
        <s v="STD-1085"/>
        <s v="STD-1086"/>
        <s v="STD-1087"/>
        <s v="STD-1088"/>
        <s v="STD-1089"/>
        <s v="STD-1090"/>
        <s v="STD-1091"/>
        <s v="STD-1092"/>
        <s v="STD-1093"/>
        <s v="STD-1094"/>
        <s v="STD-1095"/>
        <s v="STD-1096"/>
        <s v="STD-1097"/>
        <s v="STD-1098"/>
        <s v="STD-1099"/>
        <s v="STD-1100"/>
        <s v="STD-1101"/>
        <s v="STD-1102"/>
        <s v="STD-1103"/>
        <s v="STD-1104"/>
        <s v="STD-1105"/>
        <s v="STD-1106"/>
        <s v="STD-1107"/>
        <s v="STD-1108"/>
        <s v="STD-1109"/>
        <s v="STD-1110"/>
        <s v="STD-1111"/>
        <s v="STD-1112"/>
        <s v="STD-1113"/>
        <s v="STD-1114"/>
        <s v="STD-1115"/>
        <s v="STD-1116"/>
        <s v="STD-1117"/>
        <s v="STD-1118"/>
        <s v="STD-1119"/>
        <s v="STD-1120"/>
        <s v="STD-1121"/>
        <s v="STD-1122"/>
        <s v="STD-1123"/>
        <s v="STD-1124"/>
        <s v="STD-1125"/>
        <s v="STD-1126"/>
        <s v="STD-1127"/>
        <s v="STD-1128"/>
        <s v="STD-1129"/>
        <s v="STD-1130"/>
        <s v="STD-1131"/>
        <s v="STD-1132"/>
        <s v="STD-1133"/>
        <s v="STD-1134"/>
        <s v="STD-1135"/>
        <s v="STD-1136"/>
        <s v="STD-1137"/>
        <s v="STD-1138"/>
        <s v="STD-1139"/>
        <s v="STD-1140"/>
        <s v="STD-1141"/>
        <s v="STD-1142"/>
        <s v="STD-1143"/>
        <s v="STD-1144"/>
        <s v="STD-1145"/>
        <s v="STD-1146"/>
        <s v="STD-1147"/>
        <s v="STD-1148"/>
        <s v="STD-1149"/>
        <s v="STD-1150"/>
        <s v="STD-1151"/>
        <s v="STD-1152"/>
        <s v="STD-1153"/>
        <s v="STD-1154"/>
        <s v="STD-1155"/>
        <s v="STD-1156"/>
        <s v="STD-1157"/>
        <s v="STD-1158"/>
        <s v="STD-1159"/>
        <s v="STD-1160"/>
        <s v="STD-1161"/>
        <s v="STD-1162"/>
        <s v="STD-1163"/>
        <s v="STD-1164"/>
        <s v="STD-1165"/>
        <s v="STD-1166"/>
        <s v="STD-1167"/>
        <s v="STD-1168"/>
        <s v="STD-1169"/>
        <s v="STD-1170"/>
        <s v="STD-1171"/>
        <s v="STD-1172"/>
        <s v="STD-1173"/>
        <s v="STD-1174"/>
        <s v="STD-1175"/>
        <s v="STD-1176"/>
        <s v="STD-1177"/>
        <s v="STD-1178"/>
        <s v="STD-1179"/>
        <s v="STD-1180"/>
        <s v="STD-1181"/>
        <s v="STD-1182"/>
        <s v="STD-1183"/>
        <s v="STD-1184"/>
        <s v="STD-1185"/>
        <s v="STD-1186"/>
        <s v="STD-1187"/>
        <s v="STD-1188"/>
        <s v="STD-1189"/>
        <s v="STD-1190"/>
        <s v="STD-1191"/>
        <s v="STD-1192"/>
        <s v="STD-1193"/>
        <s v="STD-1194"/>
        <s v="STD-1195"/>
        <s v="STD-1196"/>
        <s v="STD-1197"/>
        <s v="STD-1198"/>
        <s v="STD-1199"/>
        <s v="STD-1200"/>
        <s v="STD-1201"/>
        <s v="STD-1202"/>
        <s v="STD-1203"/>
        <s v="STD-1204"/>
        <s v="STD-1205"/>
        <s v="STD-1206"/>
        <s v="STD-1207"/>
        <s v="STD-1208"/>
        <s v="STD-1209"/>
        <s v="STD-1210"/>
        <s v="STD-1211"/>
        <s v="STD-1212"/>
        <s v="STD-1213"/>
        <s v="STD-1214"/>
        <s v="STD-1215"/>
        <s v="STD-1216"/>
        <s v="STD-1217"/>
        <s v="STD-1218"/>
        <s v="STD-1219"/>
        <s v="STD-1220"/>
        <s v="STD-1221"/>
        <s v="STD-1222"/>
        <s v="STD-1223"/>
        <s v="STD-1224"/>
        <s v="STD-1225"/>
        <s v="STD-1226"/>
        <s v="STD-1227"/>
        <s v="STD-1228"/>
        <s v="STD-1229"/>
        <s v="STD-1230"/>
        <s v="STD-1231"/>
        <s v="STD-1232"/>
        <s v="STD-1233"/>
        <s v="STD-1234"/>
        <s v="STD-1235"/>
        <s v="STD-1236"/>
        <s v="STD-1237"/>
        <s v="STD-1238"/>
        <s v="STD-1239"/>
        <s v="STD-1240"/>
        <s v="STD-1241"/>
        <s v="STD-1242"/>
        <s v="STD-1243"/>
        <s v="STD-1244"/>
        <s v="STD-1245"/>
        <s v="STD-1246"/>
        <s v="STD-1247"/>
        <s v="STD-1248"/>
        <s v="STD-1249"/>
        <s v="STD-1250"/>
        <s v="STD-1251"/>
        <s v="STD-1252"/>
        <s v="STD-1253"/>
        <s v="STD-1254"/>
        <s v="STD-1255"/>
        <s v="STD-1256"/>
        <s v="STD-1257"/>
        <s v="STD-1258"/>
        <s v="STD-1259"/>
        <s v="STD-1260"/>
        <s v="STD-1261"/>
        <s v="STD-1262"/>
        <s v="STD-1263"/>
        <s v="STD-1264"/>
        <s v="STD-1265"/>
        <s v="STD-1266"/>
        <s v="STD-1267"/>
        <s v="STD-1268"/>
        <s v="STD-1269"/>
        <s v="STD-1270"/>
        <s v="STD-1271"/>
        <s v="STD-1272"/>
        <s v="STD-1273"/>
        <s v="STD-1274"/>
        <s v="STD-1275"/>
        <s v="STD-1276"/>
        <s v="STD-1277"/>
        <s v="STD-1278"/>
        <s v="STD-1279"/>
        <s v="STD-1280"/>
        <s v="STD-1281"/>
        <s v="STD-1282"/>
        <s v="STD-1283"/>
        <s v="STD-1284"/>
        <s v="STD-1285"/>
        <s v="STD-1286"/>
        <s v="STD-1287"/>
        <s v="STD-1288"/>
        <s v="STD-1289"/>
        <s v="STD-1290"/>
        <s v="STD-1291"/>
        <s v="STD-1292"/>
        <s v="STD-1293"/>
        <s v="STD-1294"/>
        <s v="STD-1295"/>
        <s v="STD-1296"/>
        <s v="STD-1297"/>
        <s v="STD-1298"/>
        <s v="STD-1299"/>
        <s v="STD-1300"/>
        <s v="STD-1301"/>
        <s v="STD-1302"/>
        <s v="STD-1303"/>
        <s v="STD-1304"/>
        <s v="STD-1305"/>
        <s v="STD-1306"/>
        <s v="STD-1307"/>
        <s v="STD-1308"/>
        <s v="STD-1309"/>
        <s v="STD-1310"/>
        <s v="STD-1311"/>
        <s v="STD-1312"/>
        <s v="STD-1313"/>
        <s v="STD-1314"/>
        <s v="STD-1315"/>
        <s v="STD-1316"/>
        <s v="STD-1317"/>
        <s v="STD-1318"/>
        <s v="STD-1319"/>
        <s v="STD-1320"/>
        <s v="STD-1321"/>
        <s v="STD-1322"/>
        <s v="STD-1323"/>
        <s v="STD-1324"/>
        <s v="STD-1325"/>
        <s v="STD-1326"/>
        <s v="STD-1327"/>
        <s v="STD-1328"/>
        <s v="STD-1329"/>
        <s v="STD-1330"/>
        <s v="STD-1331"/>
        <s v="STD-1332"/>
        <s v="STD-1333"/>
        <s v="STD-1334"/>
        <s v="STD-1335"/>
        <s v="STD-1336"/>
        <s v="STD-1337"/>
        <s v="STD-1338"/>
        <s v="STD-1339"/>
        <s v="STD-1340"/>
        <s v="STD-1341"/>
        <s v="STD-1342"/>
        <s v="STD-1343"/>
        <s v="STD-1344"/>
        <s v="STD-1345"/>
        <s v="STD-1346"/>
        <s v="STD-1347"/>
        <s v="STD-1348"/>
        <s v="STD-1349"/>
        <s v="STD-1350"/>
        <s v="STD-1351"/>
        <s v="STD-1352"/>
        <s v="STD-1353"/>
        <s v="STD-1354"/>
        <s v="STD-1355"/>
        <s v="STD-1356"/>
        <s v="STD-1357"/>
        <s v="STD-1358"/>
        <s v="STD-1359"/>
        <s v="STD-1360"/>
        <s v="STD-1361"/>
        <s v="STD-1362"/>
        <s v="STD-1363"/>
        <s v="STD-1364"/>
        <s v="STD-1365"/>
        <s v="STD-1366"/>
        <s v="STD-1367"/>
        <s v="STD-1368"/>
        <s v="STD-1369"/>
        <s v="STD-1370"/>
        <s v="STD-1371"/>
        <s v="STD-1372"/>
        <s v="STD-1373"/>
        <s v="STD-1374"/>
        <s v="STD-1375"/>
        <s v="STD-1376"/>
        <s v="STD-1377"/>
        <s v="STD-1378"/>
        <s v="STD-1379"/>
        <s v="STD-1380"/>
        <s v="STD-1381"/>
        <s v="STD-1382"/>
        <s v="STD-1383"/>
        <s v="STD-1384"/>
        <s v="STD-1385"/>
        <s v="STD-1386"/>
        <s v="STD-1387"/>
        <s v="STD-1388"/>
        <s v="STD-1389"/>
        <s v="STD-1390"/>
        <s v="STD-1391"/>
        <s v="STD-1392"/>
        <s v="STD-1393"/>
        <s v="STD-1394"/>
        <s v="STD-1395"/>
        <s v="STD-1396"/>
        <s v="STD-1397"/>
        <s v="STD-1398"/>
        <s v="STD-1399"/>
        <s v="STD-1400"/>
        <s v="STD-1401"/>
        <s v="STD-1402"/>
        <s v="STD-1403"/>
        <s v="STD-1404"/>
        <s v="STD-1405"/>
        <s v="STD-1406"/>
        <s v="STD-1407"/>
        <s v="STD-1408"/>
        <s v="STD-1409"/>
        <s v="STD-1410"/>
        <s v="STD-1411"/>
        <s v="STD-1412"/>
        <s v="STD-1413"/>
        <s v="STD-1414"/>
        <s v="STD-1415"/>
        <s v="STD-1416"/>
        <s v="STD-1417"/>
        <s v="STD-1418"/>
        <s v="STD-1419"/>
        <s v="STD-1420"/>
        <s v="STD-1421"/>
        <s v="STD-1422"/>
        <s v="STD-1423"/>
        <s v="STD-1424"/>
        <s v="STD-1425"/>
        <s v="STD-1426"/>
        <s v="STD-1427"/>
        <s v="STD-1428"/>
        <s v="STD-1429"/>
        <s v="STD-1430"/>
        <s v="STD-1431"/>
        <s v="STD-1432"/>
        <s v="STD-1433"/>
        <s v="STD-1434"/>
        <s v="STD-1435"/>
        <s v="STD-1436"/>
        <s v="STD-1437"/>
        <s v="STD-1438"/>
        <s v="STD-1439"/>
        <s v="STD-1440"/>
        <s v="STD-1441"/>
        <s v="STD-1442"/>
        <s v="STD-1443"/>
        <s v="STD-1444"/>
        <s v="STD-1445"/>
        <s v="STD-1446"/>
        <s v="STD-1447"/>
        <s v="STD-1448"/>
        <s v="STD-1449"/>
        <s v="STD-1450"/>
        <s v="STD-1451"/>
        <s v="STD-1452"/>
        <s v="STD-1453"/>
        <s v="STD-1454"/>
        <s v="STD-1455"/>
        <s v="STD-1456"/>
        <s v="STD-1457"/>
        <s v="STD-1458"/>
        <s v="STD-1459"/>
        <s v="STD-1460"/>
        <s v="STD-1461"/>
        <s v="STD-1462"/>
        <s v="STD-1463"/>
        <s v="STD-1464"/>
        <s v="STD-1465"/>
        <s v="STD-1466"/>
        <s v="STD-1467"/>
        <s v="STD-1468"/>
        <s v="STD-1469"/>
        <s v="STD-1470"/>
        <s v="STD-1471"/>
        <s v="STD-1472"/>
        <s v="STD-1473"/>
        <s v="STD-1474"/>
        <s v="STD-1475"/>
        <s v="STD-1476"/>
        <s v="STD-1477"/>
        <s v="STD-1478"/>
        <s v="STD-1479"/>
        <s v="STD-1480"/>
        <s v="STD-1481"/>
        <s v="STD-1482"/>
        <s v="STD-1483"/>
        <s v="STD-1484"/>
        <s v="STD-1485"/>
        <s v="STD-1486"/>
        <s v="STD-1487"/>
        <s v="STD-1488"/>
        <s v="STD-1489"/>
        <s v="STD-1490"/>
        <s v="STD-1491"/>
        <s v="STD-1492"/>
        <s v="STD-1493"/>
        <s v="STD-1494"/>
        <s v="STD-1495"/>
        <s v="STD-1496"/>
        <s v="STD-1497"/>
        <s v="STD-1498"/>
        <s v="STD-1499"/>
        <s v="STD-1500"/>
      </sharedItems>
    </cacheField>
    <cacheField name="Full_Name" numFmtId="0">
      <sharedItems>
        <s v="Priya Choudhary"/>
        <s v="Aarav Verma"/>
        <s v="Sai Iyer"/>
        <s v="Ananya Singh"/>
        <s v="Shreya Kulkarni"/>
        <s v="Aarav Kulkarni"/>
        <s v="Meera Gupta"/>
        <s v="Kavya Gupta"/>
        <s v="Vivaan Verma"/>
        <s v="Ananya Banerjee"/>
        <s v="Aditya Choudhary"/>
        <s v="Priya Patel"/>
        <s v="Sai Verma"/>
        <s v="Ananya Yadav"/>
        <s v="Pooja Jain"/>
        <s v="Karan Verma"/>
        <s v="Rohan Singh"/>
        <s v="Arjun Reddy"/>
        <s v="Karan Iyer"/>
        <s v="Arjun Singh"/>
        <s v="Ishita Kulkarni"/>
        <s v="Rahul Singh"/>
        <s v="Sneha Gupta"/>
        <s v="Shreya Verma"/>
        <s v="Ananya Nair"/>
        <s v="Neha Kaur"/>
        <s v="Ishita Yadav"/>
        <s v="Ritika Nair"/>
        <s v="Ananya Patel"/>
        <s v="Ananya Reddy"/>
        <s v="Simran Verma"/>
        <s v="Pooja Verma"/>
        <s v="Kavya Kulkarni"/>
        <s v="Aditya Reddy"/>
        <s v="Ananya Das"/>
        <s v="Ishita Nair"/>
        <s v="Meera Singh"/>
        <s v="Arjun Verma"/>
        <s v="Ananya Kulkarni"/>
        <s v="Tanvi Choudhary"/>
        <s v="Priya Jain"/>
        <s v="Meera Verma"/>
        <s v="Sneha Yadav"/>
        <s v="Ritika Yadav"/>
        <s v="Arjun Banerjee"/>
        <s v="Aditya Iyer"/>
        <s v="Aditya Patel"/>
        <s v="Rahul Jain"/>
        <s v="Karan Kulkarni"/>
        <s v="Kavya Verma"/>
        <s v="Shreya Singh"/>
        <s v="Ananya Verma"/>
        <s v="Ananya Iyer"/>
        <s v="Ishita Banerjee"/>
        <s v="Ritika Kulkarni"/>
        <s v="Karan Choudhary"/>
        <s v="Karan Sharma"/>
        <s v="Karan Nair"/>
        <s v="Kavya Yadav"/>
        <s v="Ritika Banerjee"/>
        <s v="Pooja Kulkarni"/>
        <s v="Tanvi Reddy"/>
        <s v="Vivaan Gupta"/>
        <s v="Arjun Iyer"/>
        <s v="Neha Patel"/>
        <s v="Sneha Verma"/>
        <s v="Kavya Reddy"/>
        <s v="Aarav Sharma"/>
        <s v="Vivaan Banerjee"/>
        <s v="Aditya Sharma"/>
        <s v="Priya Singh"/>
        <s v="Tanvi Kulkarni"/>
        <s v="Rohan Kulkarni"/>
        <s v="Sai Yadav"/>
        <s v="Simran Sharma"/>
        <s v="Rahul Reddy"/>
        <s v="Karan Reddy"/>
        <s v="Arjun Gupta"/>
        <s v="Rohan Nair"/>
        <s v="Meera Kulkarni"/>
        <s v="Priya Banerjee"/>
        <s v="Sneha Iyer"/>
        <s v="Meera Choudhary"/>
        <s v="Meera Kaur"/>
        <s v="Arjun Choudhary"/>
        <s v="Ananya Choudhary"/>
        <s v="Aditya Verma"/>
        <s v="Ritika Iyer"/>
        <s v="Vivaan Reddy"/>
        <s v="Pooja Nair"/>
        <s v="Rahul Kulkarni"/>
        <s v="Ishita Iyer"/>
        <s v="Neha Singh"/>
        <s v="Meera Yadav"/>
        <s v="Rahul Yadav"/>
        <s v="Sai Singh"/>
        <s v="Shreya Jain"/>
        <s v="Rohan Gupta"/>
        <s v="Rahul Verma"/>
        <s v="Arjun Kaur"/>
        <s v="Meera Nair"/>
        <s v="Simran Jain"/>
        <s v="Rohan Iyer"/>
        <s v="Simran Patel"/>
        <s v="Rahul Choudhary"/>
        <s v="Sai Sharma"/>
        <s v="Aarav Gupta"/>
        <s v="Ritika Verma"/>
        <s v="Neha Verma"/>
        <s v="Vivaan Iyer"/>
        <s v="Sai Jain"/>
        <s v="Neha Kulkarni"/>
        <s v="Aarav Yadav"/>
        <s v="Ishita Reddy"/>
        <s v="Arjun Patel"/>
        <s v="Kavya Iyer"/>
        <s v="Priya Das"/>
        <s v="Kavya Choudhary"/>
        <s v="Tanvi Banerjee"/>
        <s v="Neha Banerjee"/>
        <s v="Neha Nair"/>
        <s v="Ishita Choudhary"/>
        <s v="Tanvi Verma"/>
        <s v="Tanvi Yadav"/>
        <s v="Aarav Iyer"/>
        <s v="Karan Kaur"/>
        <s v="Shreya Choudhary"/>
        <s v="Kavya Jain"/>
        <s v="Neha Choudhary"/>
        <s v="Sneha Sharma"/>
        <s v="Priya Iyer"/>
        <s v="Aditya Kulkarni"/>
        <s v="Karan Banerjee"/>
        <s v="Vivaan Das"/>
        <s v="Rohan Das"/>
        <s v="Rahul Sharma"/>
        <s v="Meera Jain"/>
        <s v="Ritika Singh"/>
        <s v="Ishita Sharma"/>
        <s v="Vivaan Kulkarni"/>
        <s v="Karan Yadav"/>
        <s v="Vivaan Kaur"/>
        <s v="Tanvi Nair"/>
        <s v="Ritika Gupta"/>
        <s v="Kavya Patel"/>
        <s v="Aarav Choudhary"/>
        <s v="Neha Jain"/>
        <s v="Pooja Iyer"/>
        <s v="Aarav Patel"/>
        <s v="Aditya Das"/>
        <s v="Kavya Nair"/>
        <s v="Arjun Yadav"/>
        <s v="Ritika Das"/>
        <s v="Tanvi Patel"/>
        <s v="Priya Nair"/>
        <s v="Shreya Gupta"/>
        <s v="Sai Kaur"/>
        <s v="Simran Nair"/>
        <s v="Neha Sharma"/>
        <s v="Priya Reddy"/>
        <s v="Rohan Choudhary"/>
        <s v="Ananya Jain"/>
        <s v="Kavya Das"/>
        <s v="Sneha Nair"/>
        <s v="Simran Singh"/>
        <s v="Rahul Das"/>
        <s v="Priya Verma"/>
        <s v="Aditya Nair"/>
        <s v="Pooja Yadav"/>
        <s v="Meera Reddy"/>
        <s v="Aarav Das"/>
        <s v="Rohan Verma"/>
        <s v="Rahul Iyer"/>
        <s v="Simran Choudhary"/>
        <s v="Ishita Singh"/>
        <s v="Aarav Singh"/>
        <s v="Aarav Jain"/>
        <s v="Sai Das"/>
        <s v="Tanvi Jain"/>
        <s v="Meera Iyer"/>
        <s v="Neha Das"/>
        <s v="Arjun Jain"/>
        <s v="Sai Patel"/>
        <s v="Rohan Jain"/>
        <s v="Sneha Patel"/>
        <s v="Sneha Singh"/>
        <s v="Pooja Sharma"/>
        <s v="Vivaan Choudhary"/>
        <s v="Shreya Kaur"/>
        <s v="Rohan Kaur"/>
        <s v="Vivaan Nair"/>
        <s v="Vivaan Singh"/>
        <s v="Pooja Das"/>
        <s v="Karan Das"/>
        <s v="Meera Das"/>
        <s v="Sai Choudhary"/>
        <s v="Vivaan Yadav"/>
        <s v="Ritika Choudhary"/>
        <s v="Vivaan Patel"/>
        <s v="Tanvi Gupta"/>
        <s v="Pooja Patel"/>
        <s v="Shreya Iyer"/>
        <s v="Ritika Sharma"/>
        <s v="Simran Das"/>
        <s v="Simran Banerjee"/>
        <s v="Simran Yadav"/>
        <s v="Sneha Kaur"/>
        <s v="Tanvi Kaur"/>
        <s v="Ananya Sharma"/>
        <s v="Sneha Banerjee"/>
        <s v="Arjun Sharma"/>
        <s v="Ishita Verma"/>
        <s v="Shreya Reddy"/>
        <s v="Ritika Patel"/>
        <s v="Rohan Yadav"/>
        <s v="Ritika Kaur"/>
        <s v="Shreya Das"/>
        <s v="Aditya Banerjee"/>
        <s v="Simran Reddy"/>
        <s v="Sneha Jain"/>
        <s v="Arjun Das"/>
        <s v="Arjun Nair"/>
        <s v="Aarav Nair"/>
        <s v="Ananya Gupta"/>
        <s v="Sneha Reddy"/>
        <s v="Neha Gupta"/>
        <s v="Karan Jain"/>
        <s v="Sneha Kulkarni"/>
        <s v="Rohan Banerjee"/>
        <s v="Tanvi Das"/>
        <s v="Karan Gupta"/>
        <s v="Shreya Patel"/>
        <s v="Kavya Singh"/>
        <s v="Ritika Jain"/>
        <s v="Tanvi Sharma"/>
        <s v="Pooja Reddy"/>
        <s v="Meera Banerjee"/>
      </sharedItems>
    </cacheField>
    <cacheField name="Gender" numFmtId="0">
      <sharedItems>
        <s v="Female"/>
        <s v="Male"/>
      </sharedItems>
    </cacheField>
    <cacheField name="Class" numFmtId="0">
      <sharedItems>
        <s v="10"/>
        <s v="7"/>
        <s v="8"/>
        <s v="9"/>
        <s v="6"/>
      </sharedItems>
    </cacheField>
    <cacheField name="Section" numFmtId="0">
      <sharedItems>
        <s v="A"/>
        <s v="C"/>
        <s v="B"/>
      </sharedItems>
    </cacheField>
    <cacheField name="City" numFmtId="0">
      <sharedItems>
        <s v="Chandigarh"/>
        <s v="Kolkata"/>
        <s v="Delhi"/>
        <s v="Lucknow"/>
        <s v="Bhopal"/>
        <s v="Jaipur"/>
        <s v="Patna"/>
        <s v="Mumbai"/>
      </sharedItems>
    </cacheField>
    <cacheField name="Maths" numFmtId="0">
      <sharedItems containsSemiMixedTypes="0" containsString="0" containsNumber="1" containsInteger="1">
        <n v="45.0"/>
        <n v="89.0"/>
        <n v="48.0"/>
        <n v="84.0"/>
        <n v="71.0"/>
        <n v="97.0"/>
        <n v="93.0"/>
        <n v="63.0"/>
        <n v="81.0"/>
        <n v="74.0"/>
        <n v="51.0"/>
        <n v="75.0"/>
        <n v="78.0"/>
        <n v="62.0"/>
        <n v="43.0"/>
        <n v="90.0"/>
        <n v="58.0"/>
        <n v="83.0"/>
        <n v="56.0"/>
        <n v="88.0"/>
        <n v="41.0"/>
        <n v="77.0"/>
        <n v="59.0"/>
        <n v="68.0"/>
        <n v="100.0"/>
        <n v="91.0"/>
        <n v="61.0"/>
        <n v="72.0"/>
        <n v="55.0"/>
        <n v="54.0"/>
        <n v="64.0"/>
        <n v="92.0"/>
        <n v="94.0"/>
        <n v="42.0"/>
        <n v="85.0"/>
        <n v="52.0"/>
        <n v="70.0"/>
        <n v="46.0"/>
        <n v="47.0"/>
        <n v="50.0"/>
        <n v="76.0"/>
        <n v="95.0"/>
        <n v="87.0"/>
        <n v="98.0"/>
        <n v="82.0"/>
        <n v="73.0"/>
        <n v="96.0"/>
        <n v="40.0"/>
        <n v="69.0"/>
        <n v="53.0"/>
        <n v="66.0"/>
        <n v="49.0"/>
        <n v="44.0"/>
        <n v="65.0"/>
        <n v="86.0"/>
        <n v="67.0"/>
        <n v="80.0"/>
        <n v="99.0"/>
        <n v="79.0"/>
        <n v="60.0"/>
        <n v="57.0"/>
      </sharedItems>
    </cacheField>
    <cacheField name="Science" numFmtId="0">
      <sharedItems containsSemiMixedTypes="0" containsString="0" containsNumber="1" containsInteger="1">
        <n v="97.0"/>
        <n v="83.0"/>
        <n v="53.0"/>
        <n v="56.0"/>
        <n v="48.0"/>
        <n v="44.0"/>
        <n v="100.0"/>
        <n v="99.0"/>
        <n v="62.0"/>
        <n v="63.0"/>
        <n v="40.0"/>
        <n v="43.0"/>
        <n v="46.0"/>
        <n v="92.0"/>
        <n v="42.0"/>
        <n v="77.0"/>
        <n v="94.0"/>
        <n v="60.0"/>
        <n v="65.0"/>
        <n v="76.0"/>
        <n v="93.0"/>
        <n v="54.0"/>
        <n v="49.0"/>
        <n v="72.0"/>
        <n v="91.0"/>
        <n v="67.0"/>
        <n v="79.0"/>
        <n v="73.0"/>
        <n v="89.0"/>
        <n v="58.0"/>
        <n v="84.0"/>
        <n v="52.0"/>
        <n v="75.0"/>
        <n v="88.0"/>
        <n v="98.0"/>
        <n v="78.0"/>
        <n v="50.0"/>
        <n v="81.0"/>
        <n v="71.0"/>
        <n v="86.0"/>
        <n v="82.0"/>
        <n v="61.0"/>
        <n v="87.0"/>
        <n v="66.0"/>
        <n v="90.0"/>
        <n v="70.0"/>
        <n v="68.0"/>
        <n v="64.0"/>
        <n v="80.0"/>
        <n v="57.0"/>
        <n v="45.0"/>
        <n v="47.0"/>
        <n v="85.0"/>
        <n v="59.0"/>
        <n v="51.0"/>
        <n v="41.0"/>
        <n v="96.0"/>
        <n v="55.0"/>
        <n v="95.0"/>
        <n v="69.0"/>
        <n v="74.0"/>
      </sharedItems>
    </cacheField>
    <cacheField name="English" numFmtId="0">
      <sharedItems containsSemiMixedTypes="0" containsString="0" containsNumber="1" containsInteger="1">
        <n v="58.0"/>
        <n v="96.0"/>
        <n v="61.0"/>
        <n v="72.0"/>
        <n v="54.0"/>
        <n v="81.0"/>
        <n v="44.0"/>
        <n v="65.0"/>
        <n v="66.0"/>
        <n v="43.0"/>
        <n v="97.0"/>
        <n v="69.0"/>
        <n v="70.0"/>
        <n v="48.0"/>
        <n v="95.0"/>
        <n v="67.0"/>
        <n v="57.0"/>
        <n v="90.0"/>
        <n v="79.0"/>
        <n v="64.0"/>
        <n v="68.0"/>
        <n v="63.0"/>
        <n v="41.0"/>
        <n v="91.0"/>
        <n v="82.0"/>
        <n v="86.0"/>
        <n v="45.0"/>
        <n v="40.0"/>
        <n v="75.0"/>
        <n v="89.0"/>
        <n v="87.0"/>
        <n v="78.0"/>
        <n v="59.0"/>
        <n v="94.0"/>
        <n v="53.0"/>
        <n v="80.0"/>
        <n v="71.0"/>
        <n v="60.0"/>
        <n v="46.0"/>
        <n v="83.0"/>
        <n v="42.0"/>
        <n v="77.0"/>
        <n v="73.0"/>
        <n v="88.0"/>
        <n v="52.0"/>
        <n v="100.0"/>
        <n v="47.0"/>
        <n v="62.0"/>
        <n v="92.0"/>
        <n v="55.0"/>
        <n v="74.0"/>
        <n v="49.0"/>
        <n v="76.0"/>
        <n v="85.0"/>
        <n v="98.0"/>
        <n v="51.0"/>
        <n v="56.0"/>
        <n v="50.0"/>
        <n v="93.0"/>
        <n v="84.0"/>
        <n v="99.0"/>
      </sharedItems>
    </cacheField>
    <cacheField name="Hindi" numFmtId="0">
      <sharedItems containsSemiMixedTypes="0" containsString="0" containsNumber="1" containsInteger="1">
        <n v="76.0"/>
        <n v="54.0"/>
        <n v="57.0"/>
        <n v="92.0"/>
        <n v="79.0"/>
        <n v="69.0"/>
        <n v="46.0"/>
        <n v="51.0"/>
        <n v="47.0"/>
        <n v="60.0"/>
        <n v="99.0"/>
        <n v="41.0"/>
        <n v="77.0"/>
        <n v="42.0"/>
        <n v="98.0"/>
        <n v="73.0"/>
        <n v="82.0"/>
        <n v="44.0"/>
        <n v="52.0"/>
        <n v="97.0"/>
        <n v="84.0"/>
        <n v="80.0"/>
        <n v="49.0"/>
        <n v="66.0"/>
        <n v="83.0"/>
        <n v="55.0"/>
        <n v="61.0"/>
        <n v="50.0"/>
        <n v="100.0"/>
        <n v="70.0"/>
        <n v="45.0"/>
        <n v="75.0"/>
        <n v="48.0"/>
        <n v="89.0"/>
        <n v="93.0"/>
        <n v="90.0"/>
        <n v="81.0"/>
        <n v="87.0"/>
        <n v="86.0"/>
        <n v="94.0"/>
        <n v="71.0"/>
        <n v="63.0"/>
        <n v="85.0"/>
        <n v="65.0"/>
        <n v="67.0"/>
        <n v="91.0"/>
        <n v="40.0"/>
        <n v="62.0"/>
        <n v="88.0"/>
        <n v="68.0"/>
        <n v="56.0"/>
        <n v="72.0"/>
        <n v="58.0"/>
        <n v="95.0"/>
        <n v="53.0"/>
        <n v="59.0"/>
        <n v="64.0"/>
        <n v="43.0"/>
        <n v="96.0"/>
        <n v="74.0"/>
        <n v="78.0"/>
      </sharedItems>
    </cacheField>
    <cacheField name="Social_Studies" numFmtId="0">
      <sharedItems containsSemiMixedTypes="0" containsString="0" containsNumber="1" containsInteger="1">
        <n v="71.0"/>
        <n v="57.0"/>
        <n v="81.0"/>
        <n v="68.0"/>
        <n v="92.0"/>
        <n v="67.0"/>
        <n v="59.0"/>
        <n v="90.0"/>
        <n v="45.0"/>
        <n v="41.0"/>
        <n v="69.0"/>
        <n v="76.0"/>
        <n v="77.0"/>
        <n v="48.0"/>
        <n v="66.0"/>
        <n v="100.0"/>
        <n v="53.0"/>
        <n v="46.0"/>
        <n v="72.0"/>
        <n v="94.0"/>
        <n v="44.0"/>
        <n v="91.0"/>
        <n v="54.0"/>
        <n v="56.0"/>
        <n v="75.0"/>
        <n v="47.0"/>
        <n v="55.0"/>
        <n v="51.0"/>
        <n v="40.0"/>
        <n v="64.0"/>
        <n v="60.0"/>
        <n v="52.0"/>
        <n v="79.0"/>
        <n v="50.0"/>
        <n v="80.0"/>
        <n v="63.0"/>
        <n v="84.0"/>
        <n v="95.0"/>
        <n v="61.0"/>
        <n v="42.0"/>
        <n v="78.0"/>
        <n v="87.0"/>
        <n v="89.0"/>
        <n v="83.0"/>
        <n v="49.0"/>
        <n v="73.0"/>
        <n v="43.0"/>
        <n v="65.0"/>
        <n v="58.0"/>
        <n v="96.0"/>
        <n v="97.0"/>
        <n v="82.0"/>
        <n v="74.0"/>
        <n v="99.0"/>
        <n v="86.0"/>
        <n v="88.0"/>
        <n v="98.0"/>
        <n v="85.0"/>
        <n v="62.0"/>
        <n v="93.0"/>
        <n v="70.0"/>
      </sharedItems>
    </cacheField>
    <cacheField name="Total" numFmtId="0">
      <sharedItems containsSemiMixedTypes="0" containsString="0" containsNumber="1" containsInteger="1">
        <n v="347.0"/>
        <n v="379.0"/>
        <n v="300.0"/>
        <n v="372.0"/>
        <n v="344.0"/>
        <n v="348.0"/>
        <n v="364.0"/>
        <n v="316.0"/>
        <n v="312.0"/>
        <n v="353.0"/>
        <n v="278.0"/>
        <n v="309.0"/>
        <n v="297.0"/>
        <n v="339.0"/>
        <n v="345.0"/>
        <n v="305.0"/>
        <n v="365.0"/>
        <n v="403.0"/>
        <n v="315.0"/>
        <n v="338.0"/>
        <n v="390.0"/>
        <n v="324.0"/>
        <n v="343.0"/>
        <n v="356.0"/>
        <n v="389.0"/>
        <n v="399.0"/>
        <n v="341.0"/>
        <n v="322.0"/>
        <n v="373.0"/>
        <n v="303.0"/>
        <n v="366.0"/>
        <n v="329.0"/>
        <n v="295.0"/>
        <n v="327.0"/>
        <n v="376.0"/>
        <n v="354.0"/>
        <n v="334.0"/>
        <n v="351.0"/>
        <n v="317.0"/>
        <n v="350.0"/>
        <n v="287.0"/>
        <n v="349.0"/>
        <n v="367.0"/>
        <n v="308.0"/>
        <n v="380.0"/>
        <n v="328.0"/>
        <n v="415.0"/>
        <n v="298.0"/>
        <n v="319.0"/>
        <n v="306.0"/>
        <n v="377.0"/>
        <n v="359.0"/>
        <n v="429.0"/>
        <n v="346.0"/>
        <n v="369.0"/>
        <n v="342.0"/>
        <n v="326.0"/>
        <n v="394.0"/>
        <n v="302.0"/>
        <n v="414.0"/>
        <n v="330.0"/>
        <n v="336.0"/>
        <n v="382.0"/>
        <n v="333.0"/>
        <n v="398.0"/>
        <n v="340.0"/>
        <n v="400.0"/>
        <n v="357.0"/>
        <n v="299.0"/>
        <n v="301.0"/>
        <n v="402.0"/>
        <n v="360.0"/>
        <n v="318.0"/>
        <n v="387.0"/>
        <n v="388.0"/>
        <n v="374.0"/>
        <n v="256.0"/>
        <n v="279.0"/>
        <n v="395.0"/>
        <n v="362.0"/>
        <n v="384.0"/>
        <n v="391.0"/>
        <n v="283.0"/>
        <n v="270.0"/>
        <n v="423.0"/>
        <n v="290.0"/>
        <n v="393.0"/>
        <n v="370.0"/>
        <n v="355.0"/>
        <n v="282.0"/>
        <n v="363.0"/>
        <n v="325.0"/>
        <n v="335.0"/>
        <n v="401.0"/>
        <n v="291.0"/>
        <n v="311.0"/>
        <n v="284.0"/>
        <n v="264.0"/>
        <n v="358.0"/>
        <n v="286.0"/>
        <n v="321.0"/>
        <n v="352.0"/>
        <n v="314.0"/>
        <n v="289.0"/>
        <n v="383.0"/>
        <n v="296.0"/>
        <n v="320.0"/>
        <n v="392.0"/>
        <n v="371.0"/>
        <n v="410.0"/>
        <n v="425.0"/>
        <n v="378.0"/>
        <n v="361.0"/>
        <n v="313.0"/>
        <n v="332.0"/>
        <n v="437.0"/>
        <n v="396.0"/>
        <n v="307.0"/>
        <n v="404.0"/>
        <n v="368.0"/>
        <n v="405.0"/>
        <n v="408.0"/>
        <n v="381.0"/>
        <n v="267.0"/>
        <n v="420.0"/>
        <n v="281.0"/>
        <n v="407.0"/>
        <n v="293.0"/>
        <n v="431.0"/>
        <n v="304.0"/>
        <n v="375.0"/>
        <n v="417.0"/>
        <n v="385.0"/>
        <n v="409.0"/>
        <n v="232.0"/>
        <n v="413.0"/>
        <n v="397.0"/>
        <n v="268.0"/>
        <n v="272.0"/>
        <n v="427.0"/>
        <n v="292.0"/>
        <n v="266.0"/>
        <n v="419.0"/>
        <n v="310.0"/>
        <n v="259.0"/>
        <n v="323.0"/>
        <n v="285.0"/>
        <n v="262.0"/>
      </sharedItems>
    </cacheField>
    <cacheField name="Percentage" numFmtId="0">
      <sharedItems containsSemiMixedTypes="0" containsString="0" containsNumber="1">
        <n v="39.4"/>
        <n v="85.8"/>
        <n v="20.0"/>
        <n v="74.4"/>
        <n v="68.8"/>
        <n v="89.6"/>
        <n v="82.8"/>
        <n v="63.2"/>
        <n v="92.4"/>
        <n v="70.6"/>
        <n v="25.6"/>
        <n v="61.8"/>
        <n v="59.4"/>
        <n v="97.8"/>
        <n v="69.0"/>
        <n v="61.0"/>
        <n v="73.0"/>
        <n v="75.8"/>
        <n v="80.6"/>
        <n v="72.8"/>
        <n v="63.0"/>
        <n v="67.6"/>
        <n v="78.0"/>
        <n v="64.8"/>
        <n v="68.6"/>
        <n v="71.2"/>
        <n v="77.8"/>
        <n v="79.8"/>
        <n v="68.2"/>
        <n v="64.4"/>
        <n v="74.6"/>
        <n v="69.4"/>
        <n v="60.6"/>
        <n v="73.2"/>
        <n v="65.8"/>
        <n v="59.0"/>
        <n v="65.4"/>
        <n v="75.2"/>
        <n v="70.8"/>
        <n v="66.8"/>
        <n v="70.2"/>
        <n v="63.4"/>
        <n v="62.4"/>
        <n v="70.0"/>
        <n v="57.4"/>
        <n v="69.8"/>
        <n v="73.4"/>
        <n v="61.6"/>
        <n v="76.0"/>
        <n v="65.6"/>
        <n v="83.0"/>
        <n v="59.6"/>
        <n v="63.8"/>
        <n v="61.2"/>
        <n v="75.4"/>
        <n v="71.8"/>
        <n v="69.2"/>
        <n v="73.8"/>
        <n v="68.4"/>
        <n v="65.2"/>
        <n v="78.8"/>
        <n v="60.4"/>
        <n v="66.0"/>
        <n v="67.2"/>
        <n v="76.4"/>
        <n v="66.6"/>
        <n v="79.6"/>
        <n v="68.0"/>
        <n v="80.0"/>
        <n v="71.4"/>
        <n v="59.8"/>
        <n v="60.2"/>
        <n v="80.4"/>
        <n v="72.0"/>
        <n v="67.8"/>
        <n v="63.6"/>
        <n v="77.4"/>
        <n v="77.6"/>
        <n v="74.8"/>
        <n v="51.2"/>
        <n v="55.8"/>
        <n v="79.0"/>
        <n v="72.4"/>
        <n v="76.8"/>
        <n v="78.2"/>
        <n v="56.6"/>
        <n v="54.0"/>
        <n v="84.6"/>
        <n v="58.0"/>
        <n v="78.6"/>
        <n v="74.0"/>
        <n v="71.0"/>
        <n v="56.4"/>
        <n v="72.6"/>
        <n v="65.0"/>
        <n v="67.0"/>
        <n v="80.2"/>
        <n v="69.6"/>
        <n v="58.2"/>
        <n v="62.2"/>
        <n v="56.8"/>
        <n v="52.8"/>
        <n v="71.6"/>
        <n v="57.2"/>
        <n v="64.2"/>
        <n v="70.4"/>
        <n v="62.8"/>
        <n v="57.8"/>
        <n v="76.6"/>
        <n v="59.2"/>
        <n v="64.0"/>
        <n v="78.4"/>
        <n v="74.2"/>
        <n v="82.0"/>
        <n v="85.0"/>
        <n v="55.6"/>
        <n v="75.6"/>
        <n v="72.2"/>
        <n v="62.6"/>
        <n v="66.4"/>
        <n v="87.4"/>
        <n v="60.0"/>
        <n v="79.2"/>
        <n v="61.4"/>
        <n v="80.8"/>
        <n v="73.6"/>
        <n v="81.0"/>
        <n v="81.6"/>
        <n v="76.2"/>
        <n v="53.4"/>
        <n v="84.0"/>
        <n v="56.2"/>
        <n v="81.4"/>
        <n v="58.6"/>
        <n v="86.2"/>
        <n v="60.8"/>
        <n v="75.0"/>
        <n v="83.4"/>
        <n v="77.0"/>
        <n v="81.8"/>
        <n v="46.4"/>
        <n v="82.6"/>
        <n v="79.4"/>
        <n v="53.6"/>
        <n v="54.4"/>
        <n v="85.4"/>
        <n v="58.4"/>
        <n v="53.2"/>
        <n v="83.8"/>
        <n v="62.0"/>
        <n v="51.8"/>
        <n v="64.6"/>
        <n v="57.0"/>
        <n v="52.4"/>
      </sharedItems>
    </cacheField>
    <cacheField name="Attendance" numFmtId="0">
      <sharedItems containsSemiMixedTypes="0" containsString="0" containsNumber="1" containsInteger="1">
        <n v="84.0"/>
        <n v="89.0"/>
        <n v="86.0"/>
        <n v="80.0"/>
        <n v="66.0"/>
        <n v="74.0"/>
        <n v="73.0"/>
        <n v="88.0"/>
        <n v="98.0"/>
        <n v="75.0"/>
        <n v="61.0"/>
        <n v="85.0"/>
        <n v="68.0"/>
        <n v="79.0"/>
        <n v="90.0"/>
        <n v="65.0"/>
        <n v="62.0"/>
        <n v="60.0"/>
        <n v="76.0"/>
        <n v="93.0"/>
        <n v="70.0"/>
        <n v="91.0"/>
        <n v="92.0"/>
        <n v="99.0"/>
        <n v="82.0"/>
        <n v="77.0"/>
        <n v="63.0"/>
        <n v="78.0"/>
        <n v="95.0"/>
        <n v="87.0"/>
        <n v="83.0"/>
        <n v="100.0"/>
        <n v="64.0"/>
        <n v="67.0"/>
        <n v="94.0"/>
        <n v="81.0"/>
        <n v="71.0"/>
        <n v="72.0"/>
        <n v="96.0"/>
        <n v="97.0"/>
        <n v="69.0"/>
      </sharedItems>
    </cacheField>
    <cacheField name="Status" numFmtId="0">
      <sharedItems>
        <s v="Pass"/>
        <s v="Fai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unt" cacheId="0" dataCaption="" compact="0" compactData="0">
  <location ref="B3:C9" firstHeaderRow="0" firstDataRow="1" firstDataCol="0"/>
  <pivotFields>
    <pivotField name="Stud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lass" axis="axisRow" compact="0" outline="0" multipleItemSelectionAllowed="1" showAll="0" sortType="ascending">
      <items>
        <item x="0"/>
        <item x="4"/>
        <item x="1"/>
        <item x="2"/>
        <item x="3"/>
        <item t="default"/>
      </items>
    </pivotField>
    <pivotField name="Section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c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Englis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Hind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ocial_Stud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Attend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COUNTA of Student_ID" fld="0" subtotal="count" baseField="0"/>
  </dataFields>
</pivotTableDefinition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tudent_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5:B27" displayName="Table_2" name="Table_2" id="2">
  <tableColumns count="2">
    <tableColumn name="Column1" id="1"/>
    <tableColumn name="Column2" id="2"/>
  </tableColumns>
  <tableStyleInfo name="Cou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B7" displayName="Table_3" name="Table_3" id="3">
  <tableColumns count="2">
    <tableColumn name="Column1" id="1"/>
    <tableColumn name="Column2" id="2"/>
  </tableColumns>
  <tableStyleInfo name="Countif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B7" displayName="Table_4" name="Table_4" id="4">
  <tableColumns count="2">
    <tableColumn name="Column1" id="1"/>
    <tableColumn name="Column2" id="2"/>
  </tableColumns>
  <tableStyleInfo name="sumif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C7" displayName="Table_5" name="Table_5" id="5">
  <tableColumns count="3">
    <tableColumn name="Column1" id="1"/>
    <tableColumn name="Column2" id="2"/>
    <tableColumn name="Column3" id="3"/>
  </tableColumns>
  <tableStyleInfo name="Averageif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Z1000" displayName="Table_6" name="Table_6" id="6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Logic_If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B5" displayName="Table_7" name="Table_7" id="7">
  <tableColumns count="2">
    <tableColumn name="21. Retrieve full details of a student using their Student ID:" id="1"/>
    <tableColumn name="Priya Choudhary" id="2"/>
  </tableColumns>
  <tableStyleInfo name="XLOOKUP -style" showColumnStripes="0" showFirstColumn="1" showLastColumn="1" showRowStripes="1"/>
</table>
</file>

<file path=xl/tables/table8.xml><?xml version="1.0" encoding="utf-8"?>
<table xmlns="http://schemas.openxmlformats.org/spreadsheetml/2006/main" headerRowCount="0" ref="B1027:D1031" displayName="Table_8" name="Table_8" id="8">
  <tableColumns count="3">
    <tableColumn name="Column1" id="1"/>
    <tableColumn name="Column2" id="2"/>
    <tableColumn name="Column3" id="3"/>
  </tableColumns>
  <tableStyleInfo name="Repor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7.29"/>
    <col customWidth="1" min="3" max="3" width="7.43"/>
    <col customWidth="1" min="4" max="5" width="8.71"/>
    <col customWidth="1" min="6" max="6" width="12.0"/>
    <col customWidth="1" min="7" max="10" width="8.71"/>
    <col customWidth="1" min="11" max="11" width="13.29"/>
    <col customWidth="1" min="12" max="12" width="8.71"/>
    <col customWidth="1" min="13" max="13" width="10.57"/>
    <col customWidth="1" min="14" max="14" width="10.86"/>
    <col customWidth="1" min="15" max="15" width="9.71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15</v>
      </c>
      <c r="B2" s="1" t="s">
        <v>16</v>
      </c>
      <c r="C2" s="2" t="s">
        <v>17</v>
      </c>
      <c r="D2" s="1" t="s">
        <v>18</v>
      </c>
      <c r="E2" s="1" t="s">
        <v>19</v>
      </c>
      <c r="F2" s="1" t="s">
        <v>20</v>
      </c>
      <c r="G2" s="1">
        <v>45.0</v>
      </c>
      <c r="H2" s="1">
        <v>97.0</v>
      </c>
      <c r="I2" s="1">
        <v>58.0</v>
      </c>
      <c r="J2" s="1">
        <v>76.0</v>
      </c>
      <c r="K2" s="1">
        <v>71.0</v>
      </c>
      <c r="L2" s="1">
        <v>347.0</v>
      </c>
      <c r="M2" s="2">
        <v>39.4</v>
      </c>
      <c r="N2" s="1">
        <v>84.0</v>
      </c>
      <c r="O2" s="1" t="s">
        <v>21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>
        <v>89.0</v>
      </c>
      <c r="H3" s="1">
        <v>83.0</v>
      </c>
      <c r="I3" s="1">
        <v>96.0</v>
      </c>
      <c r="J3" s="1">
        <v>54.0</v>
      </c>
      <c r="K3" s="1">
        <v>57.0</v>
      </c>
      <c r="L3" s="1">
        <v>379.0</v>
      </c>
      <c r="M3" s="2">
        <v>85.8</v>
      </c>
      <c r="N3" s="1">
        <v>89.0</v>
      </c>
      <c r="O3" s="1" t="s">
        <v>21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28</v>
      </c>
      <c r="B4" s="1" t="s">
        <v>29</v>
      </c>
      <c r="C4" s="1" t="s">
        <v>24</v>
      </c>
      <c r="D4" s="1" t="s">
        <v>30</v>
      </c>
      <c r="E4" s="1" t="s">
        <v>26</v>
      </c>
      <c r="F4" s="1" t="s">
        <v>27</v>
      </c>
      <c r="G4" s="1">
        <v>48.0</v>
      </c>
      <c r="H4" s="1">
        <v>53.0</v>
      </c>
      <c r="I4" s="1">
        <v>61.0</v>
      </c>
      <c r="J4" s="1">
        <v>57.0</v>
      </c>
      <c r="K4" s="1">
        <v>81.0</v>
      </c>
      <c r="L4" s="1">
        <v>300.0</v>
      </c>
      <c r="M4" s="2">
        <v>20.0</v>
      </c>
      <c r="N4" s="1">
        <v>86.0</v>
      </c>
      <c r="O4" s="1" t="s">
        <v>21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31</v>
      </c>
      <c r="B5" s="1" t="s">
        <v>32</v>
      </c>
      <c r="C5" s="1" t="s">
        <v>17</v>
      </c>
      <c r="D5" s="1" t="s">
        <v>30</v>
      </c>
      <c r="E5" s="1" t="s">
        <v>26</v>
      </c>
      <c r="F5" s="1" t="s">
        <v>27</v>
      </c>
      <c r="G5" s="1">
        <v>84.0</v>
      </c>
      <c r="H5" s="1">
        <v>56.0</v>
      </c>
      <c r="I5" s="1">
        <v>72.0</v>
      </c>
      <c r="J5" s="1">
        <v>92.0</v>
      </c>
      <c r="K5" s="1">
        <v>68.0</v>
      </c>
      <c r="L5" s="1">
        <v>372.0</v>
      </c>
      <c r="M5" s="1">
        <v>74.4</v>
      </c>
      <c r="N5" s="1">
        <v>84.0</v>
      </c>
      <c r="O5" s="1" t="s">
        <v>21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33</v>
      </c>
      <c r="B6" s="1" t="s">
        <v>34</v>
      </c>
      <c r="C6" s="1" t="s">
        <v>24</v>
      </c>
      <c r="D6" s="1" t="s">
        <v>30</v>
      </c>
      <c r="E6" s="1" t="s">
        <v>26</v>
      </c>
      <c r="F6" s="1" t="s">
        <v>20</v>
      </c>
      <c r="G6" s="1">
        <v>71.0</v>
      </c>
      <c r="H6" s="1">
        <v>48.0</v>
      </c>
      <c r="I6" s="1">
        <v>54.0</v>
      </c>
      <c r="J6" s="1">
        <v>79.0</v>
      </c>
      <c r="K6" s="1">
        <v>92.0</v>
      </c>
      <c r="L6" s="1">
        <v>344.0</v>
      </c>
      <c r="M6" s="1">
        <v>68.8</v>
      </c>
      <c r="N6" s="1">
        <v>80.0</v>
      </c>
      <c r="O6" s="1" t="s">
        <v>21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35</v>
      </c>
      <c r="B7" s="1" t="s">
        <v>36</v>
      </c>
      <c r="C7" s="1" t="s">
        <v>17</v>
      </c>
      <c r="D7" s="1" t="s">
        <v>25</v>
      </c>
      <c r="E7" s="1" t="s">
        <v>26</v>
      </c>
      <c r="F7" s="1" t="s">
        <v>37</v>
      </c>
      <c r="G7" s="1">
        <v>97.0</v>
      </c>
      <c r="H7" s="1">
        <v>44.0</v>
      </c>
      <c r="I7" s="1">
        <v>81.0</v>
      </c>
      <c r="J7" s="1">
        <v>69.0</v>
      </c>
      <c r="K7" s="1">
        <v>57.0</v>
      </c>
      <c r="L7" s="1">
        <v>348.0</v>
      </c>
      <c r="M7" s="2">
        <v>89.6</v>
      </c>
      <c r="N7" s="1">
        <v>66.0</v>
      </c>
      <c r="O7" s="1" t="s">
        <v>21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38</v>
      </c>
      <c r="B8" s="1" t="s">
        <v>39</v>
      </c>
      <c r="C8" s="1" t="s">
        <v>24</v>
      </c>
      <c r="D8" s="1" t="s">
        <v>40</v>
      </c>
      <c r="E8" s="1" t="s">
        <v>26</v>
      </c>
      <c r="F8" s="1" t="s">
        <v>41</v>
      </c>
      <c r="G8" s="1">
        <v>93.0</v>
      </c>
      <c r="H8" s="1">
        <v>100.0</v>
      </c>
      <c r="I8" s="1">
        <v>58.0</v>
      </c>
      <c r="J8" s="1">
        <v>46.0</v>
      </c>
      <c r="K8" s="1">
        <v>67.0</v>
      </c>
      <c r="L8" s="1">
        <v>364.0</v>
      </c>
      <c r="M8" s="2">
        <v>82.8</v>
      </c>
      <c r="N8" s="1">
        <v>74.0</v>
      </c>
      <c r="O8" s="1" t="s">
        <v>21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42</v>
      </c>
      <c r="B9" s="1" t="s">
        <v>43</v>
      </c>
      <c r="C9" s="1" t="s">
        <v>24</v>
      </c>
      <c r="D9" s="1" t="s">
        <v>25</v>
      </c>
      <c r="E9" s="1" t="s">
        <v>26</v>
      </c>
      <c r="F9" s="1" t="s">
        <v>44</v>
      </c>
      <c r="G9" s="1">
        <v>63.0</v>
      </c>
      <c r="H9" s="1">
        <v>99.0</v>
      </c>
      <c r="I9" s="1">
        <v>44.0</v>
      </c>
      <c r="J9" s="1">
        <v>51.0</v>
      </c>
      <c r="K9" s="1">
        <v>59.0</v>
      </c>
      <c r="L9" s="1">
        <v>316.0</v>
      </c>
      <c r="M9" s="1">
        <v>63.2</v>
      </c>
      <c r="N9" s="1">
        <v>66.0</v>
      </c>
      <c r="O9" s="1" t="s">
        <v>21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45</v>
      </c>
      <c r="B10" s="1" t="s">
        <v>46</v>
      </c>
      <c r="C10" s="1" t="s">
        <v>24</v>
      </c>
      <c r="D10" s="1" t="s">
        <v>40</v>
      </c>
      <c r="E10" s="1" t="s">
        <v>47</v>
      </c>
      <c r="F10" s="1" t="s">
        <v>27</v>
      </c>
      <c r="G10" s="1">
        <v>81.0</v>
      </c>
      <c r="H10" s="1">
        <v>62.0</v>
      </c>
      <c r="I10" s="1">
        <v>65.0</v>
      </c>
      <c r="J10" s="1">
        <v>47.0</v>
      </c>
      <c r="K10" s="1">
        <v>57.0</v>
      </c>
      <c r="L10" s="1">
        <v>312.0</v>
      </c>
      <c r="M10" s="2">
        <v>92.4</v>
      </c>
      <c r="N10" s="1">
        <v>73.0</v>
      </c>
      <c r="O10" s="1" t="s">
        <v>21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48</v>
      </c>
      <c r="B11" s="1" t="s">
        <v>49</v>
      </c>
      <c r="C11" s="1" t="s">
        <v>17</v>
      </c>
      <c r="D11" s="1" t="s">
        <v>18</v>
      </c>
      <c r="E11" s="1" t="s">
        <v>19</v>
      </c>
      <c r="F11" s="1" t="s">
        <v>27</v>
      </c>
      <c r="G11" s="1">
        <v>74.0</v>
      </c>
      <c r="H11" s="1">
        <v>63.0</v>
      </c>
      <c r="I11" s="1">
        <v>66.0</v>
      </c>
      <c r="J11" s="1">
        <v>60.0</v>
      </c>
      <c r="K11" s="1">
        <v>90.0</v>
      </c>
      <c r="L11" s="1">
        <v>353.0</v>
      </c>
      <c r="M11" s="1">
        <v>70.6</v>
      </c>
      <c r="N11" s="1">
        <v>88.0</v>
      </c>
      <c r="O11" s="1" t="s">
        <v>21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50</v>
      </c>
      <c r="B12" s="1" t="s">
        <v>51</v>
      </c>
      <c r="C12" s="1" t="s">
        <v>24</v>
      </c>
      <c r="D12" s="1" t="s">
        <v>25</v>
      </c>
      <c r="E12" s="1" t="s">
        <v>26</v>
      </c>
      <c r="F12" s="1" t="s">
        <v>20</v>
      </c>
      <c r="G12" s="1">
        <v>51.0</v>
      </c>
      <c r="H12" s="1">
        <v>40.0</v>
      </c>
      <c r="I12" s="1">
        <v>43.0</v>
      </c>
      <c r="J12" s="1">
        <v>99.0</v>
      </c>
      <c r="K12" s="1">
        <v>45.0</v>
      </c>
      <c r="L12" s="1">
        <v>278.0</v>
      </c>
      <c r="M12" s="2">
        <v>25.6</v>
      </c>
      <c r="N12" s="1">
        <v>98.0</v>
      </c>
      <c r="O12" s="1" t="s">
        <v>21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52</v>
      </c>
      <c r="B13" s="1" t="s">
        <v>53</v>
      </c>
      <c r="C13" s="1" t="s">
        <v>17</v>
      </c>
      <c r="D13" s="1" t="s">
        <v>54</v>
      </c>
      <c r="E13" s="1" t="s">
        <v>19</v>
      </c>
      <c r="F13" s="1" t="s">
        <v>55</v>
      </c>
      <c r="G13" s="1">
        <v>71.0</v>
      </c>
      <c r="H13" s="1">
        <v>43.0</v>
      </c>
      <c r="I13" s="1">
        <v>97.0</v>
      </c>
      <c r="J13" s="1">
        <v>41.0</v>
      </c>
      <c r="K13" s="1">
        <v>57.0</v>
      </c>
      <c r="L13" s="1">
        <v>309.0</v>
      </c>
      <c r="M13" s="1">
        <v>61.8</v>
      </c>
      <c r="N13" s="1">
        <v>75.0</v>
      </c>
      <c r="O13" s="1" t="s">
        <v>21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56</v>
      </c>
      <c r="B14" s="1" t="s">
        <v>57</v>
      </c>
      <c r="C14" s="1" t="s">
        <v>17</v>
      </c>
      <c r="D14" s="1" t="s">
        <v>30</v>
      </c>
      <c r="E14" s="1" t="s">
        <v>47</v>
      </c>
      <c r="F14" s="1" t="s">
        <v>41</v>
      </c>
      <c r="G14" s="1">
        <v>75.0</v>
      </c>
      <c r="H14" s="1">
        <v>46.0</v>
      </c>
      <c r="I14" s="1">
        <v>58.0</v>
      </c>
      <c r="J14" s="1">
        <v>77.0</v>
      </c>
      <c r="K14" s="1">
        <v>41.0</v>
      </c>
      <c r="L14" s="1">
        <v>297.0</v>
      </c>
      <c r="M14" s="1">
        <v>59.4</v>
      </c>
      <c r="N14" s="1">
        <v>61.0</v>
      </c>
      <c r="O14" s="1" t="s">
        <v>21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58</v>
      </c>
      <c r="B15" s="1" t="s">
        <v>59</v>
      </c>
      <c r="C15" s="1" t="s">
        <v>17</v>
      </c>
      <c r="D15" s="1" t="s">
        <v>40</v>
      </c>
      <c r="E15" s="1" t="s">
        <v>26</v>
      </c>
      <c r="F15" s="1" t="s">
        <v>20</v>
      </c>
      <c r="G15" s="1">
        <v>78.0</v>
      </c>
      <c r="H15" s="1">
        <v>92.0</v>
      </c>
      <c r="I15" s="1">
        <v>58.0</v>
      </c>
      <c r="J15" s="1">
        <v>42.0</v>
      </c>
      <c r="K15" s="1">
        <v>69.0</v>
      </c>
      <c r="L15" s="1">
        <v>339.0</v>
      </c>
      <c r="M15" s="2">
        <v>97.8</v>
      </c>
      <c r="N15" s="1">
        <v>85.0</v>
      </c>
      <c r="O15" s="1" t="s">
        <v>21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60</v>
      </c>
      <c r="B16" s="1" t="s">
        <v>61</v>
      </c>
      <c r="C16" s="1" t="s">
        <v>24</v>
      </c>
      <c r="D16" s="1" t="s">
        <v>25</v>
      </c>
      <c r="E16" s="1" t="s">
        <v>19</v>
      </c>
      <c r="F16" s="1" t="s">
        <v>62</v>
      </c>
      <c r="G16" s="1">
        <v>62.0</v>
      </c>
      <c r="H16" s="1">
        <v>40.0</v>
      </c>
      <c r="I16" s="1">
        <v>69.0</v>
      </c>
      <c r="J16" s="1">
        <v>98.0</v>
      </c>
      <c r="K16" s="1">
        <v>76.0</v>
      </c>
      <c r="L16" s="1">
        <v>345.0</v>
      </c>
      <c r="M16" s="1">
        <v>69.0</v>
      </c>
      <c r="N16" s="1">
        <v>68.0</v>
      </c>
      <c r="O16" s="1" t="s">
        <v>21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63</v>
      </c>
      <c r="B17" s="1" t="s">
        <v>64</v>
      </c>
      <c r="C17" s="1" t="s">
        <v>17</v>
      </c>
      <c r="D17" s="1" t="s">
        <v>25</v>
      </c>
      <c r="E17" s="1" t="s">
        <v>26</v>
      </c>
      <c r="F17" s="1" t="s">
        <v>55</v>
      </c>
      <c r="G17" s="1">
        <v>43.0</v>
      </c>
      <c r="H17" s="1">
        <v>42.0</v>
      </c>
      <c r="I17" s="1">
        <v>70.0</v>
      </c>
      <c r="J17" s="1">
        <v>73.0</v>
      </c>
      <c r="K17" s="1">
        <v>77.0</v>
      </c>
      <c r="L17" s="1">
        <v>305.0</v>
      </c>
      <c r="M17" s="1">
        <v>61.0</v>
      </c>
      <c r="N17" s="1">
        <v>79.0</v>
      </c>
      <c r="O17" s="1" t="s">
        <v>21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65</v>
      </c>
      <c r="B18" s="1" t="s">
        <v>66</v>
      </c>
      <c r="C18" s="1" t="s">
        <v>24</v>
      </c>
      <c r="D18" s="1" t="s">
        <v>54</v>
      </c>
      <c r="E18" s="1" t="s">
        <v>26</v>
      </c>
      <c r="F18" s="1" t="s">
        <v>37</v>
      </c>
      <c r="G18" s="1">
        <v>90.0</v>
      </c>
      <c r="H18" s="1">
        <v>77.0</v>
      </c>
      <c r="I18" s="1">
        <v>48.0</v>
      </c>
      <c r="J18" s="1">
        <v>79.0</v>
      </c>
      <c r="K18" s="1">
        <v>71.0</v>
      </c>
      <c r="L18" s="1">
        <v>365.0</v>
      </c>
      <c r="M18" s="1">
        <v>73.0</v>
      </c>
      <c r="N18" s="1">
        <v>61.0</v>
      </c>
      <c r="O18" s="1" t="s">
        <v>21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67</v>
      </c>
      <c r="B19" s="1" t="s">
        <v>68</v>
      </c>
      <c r="C19" s="1" t="s">
        <v>17</v>
      </c>
      <c r="D19" s="1" t="s">
        <v>40</v>
      </c>
      <c r="E19" s="1" t="s">
        <v>47</v>
      </c>
      <c r="F19" s="1" t="s">
        <v>62</v>
      </c>
      <c r="G19" s="1">
        <v>58.0</v>
      </c>
      <c r="H19" s="1">
        <v>94.0</v>
      </c>
      <c r="I19" s="1">
        <v>97.0</v>
      </c>
      <c r="J19" s="1">
        <v>82.0</v>
      </c>
      <c r="K19" s="1">
        <v>48.0</v>
      </c>
      <c r="L19" s="1">
        <v>379.0</v>
      </c>
      <c r="M19" s="1">
        <v>75.8</v>
      </c>
      <c r="N19" s="1">
        <v>90.0</v>
      </c>
      <c r="O19" s="1" t="s">
        <v>21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69</v>
      </c>
      <c r="B20" s="1" t="s">
        <v>70</v>
      </c>
      <c r="C20" s="1" t="s">
        <v>24</v>
      </c>
      <c r="D20" s="1" t="s">
        <v>54</v>
      </c>
      <c r="E20" s="1" t="s">
        <v>47</v>
      </c>
      <c r="F20" s="1" t="s">
        <v>20</v>
      </c>
      <c r="G20" s="1">
        <v>83.0</v>
      </c>
      <c r="H20" s="1">
        <v>60.0</v>
      </c>
      <c r="I20" s="1">
        <v>95.0</v>
      </c>
      <c r="J20" s="1">
        <v>99.0</v>
      </c>
      <c r="K20" s="1">
        <v>66.0</v>
      </c>
      <c r="L20" s="1">
        <v>403.0</v>
      </c>
      <c r="M20" s="1">
        <v>80.6</v>
      </c>
      <c r="N20" s="1">
        <v>65.0</v>
      </c>
      <c r="O20" s="1" t="s">
        <v>21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71</v>
      </c>
      <c r="B21" s="1" t="s">
        <v>72</v>
      </c>
      <c r="C21" s="1" t="s">
        <v>17</v>
      </c>
      <c r="D21" s="1" t="s">
        <v>40</v>
      </c>
      <c r="E21" s="1" t="s">
        <v>47</v>
      </c>
      <c r="F21" s="1" t="s">
        <v>44</v>
      </c>
      <c r="G21" s="1">
        <v>56.0</v>
      </c>
      <c r="H21" s="1">
        <v>97.0</v>
      </c>
      <c r="I21" s="1">
        <v>67.0</v>
      </c>
      <c r="J21" s="1">
        <v>44.0</v>
      </c>
      <c r="K21" s="1">
        <v>100.0</v>
      </c>
      <c r="L21" s="1">
        <v>364.0</v>
      </c>
      <c r="M21" s="1">
        <v>72.8</v>
      </c>
      <c r="N21" s="1">
        <v>88.0</v>
      </c>
      <c r="O21" s="1" t="s">
        <v>21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73</v>
      </c>
      <c r="B22" s="1" t="s">
        <v>74</v>
      </c>
      <c r="C22" s="1" t="s">
        <v>17</v>
      </c>
      <c r="D22" s="1" t="s">
        <v>40</v>
      </c>
      <c r="E22" s="1" t="s">
        <v>26</v>
      </c>
      <c r="F22" s="1" t="s">
        <v>41</v>
      </c>
      <c r="G22" s="1">
        <v>88.0</v>
      </c>
      <c r="H22" s="1">
        <v>65.0</v>
      </c>
      <c r="I22" s="1">
        <v>57.0</v>
      </c>
      <c r="J22" s="1">
        <v>52.0</v>
      </c>
      <c r="K22" s="1">
        <v>53.0</v>
      </c>
      <c r="L22" s="1">
        <v>315.0</v>
      </c>
      <c r="M22" s="1">
        <v>63.0</v>
      </c>
      <c r="N22" s="1">
        <v>98.0</v>
      </c>
      <c r="O22" s="1" t="s">
        <v>21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75</v>
      </c>
      <c r="B23" s="1" t="s">
        <v>76</v>
      </c>
      <c r="C23" s="1" t="s">
        <v>24</v>
      </c>
      <c r="D23" s="1" t="s">
        <v>18</v>
      </c>
      <c r="E23" s="1" t="s">
        <v>19</v>
      </c>
      <c r="F23" s="1" t="s">
        <v>77</v>
      </c>
      <c r="G23" s="1">
        <v>41.0</v>
      </c>
      <c r="H23" s="1">
        <v>76.0</v>
      </c>
      <c r="I23" s="1">
        <v>65.0</v>
      </c>
      <c r="J23" s="1">
        <v>97.0</v>
      </c>
      <c r="K23" s="1">
        <v>59.0</v>
      </c>
      <c r="L23" s="1">
        <v>338.0</v>
      </c>
      <c r="M23" s="1">
        <v>67.6</v>
      </c>
      <c r="N23" s="1">
        <v>62.0</v>
      </c>
      <c r="O23" s="1" t="s">
        <v>21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78</v>
      </c>
      <c r="B24" s="1" t="s">
        <v>79</v>
      </c>
      <c r="C24" s="1" t="s">
        <v>24</v>
      </c>
      <c r="D24" s="1" t="s">
        <v>18</v>
      </c>
      <c r="E24" s="1" t="s">
        <v>19</v>
      </c>
      <c r="F24" s="1" t="s">
        <v>20</v>
      </c>
      <c r="G24" s="1">
        <v>77.0</v>
      </c>
      <c r="H24" s="1">
        <v>93.0</v>
      </c>
      <c r="I24" s="1">
        <v>90.0</v>
      </c>
      <c r="J24" s="1">
        <v>84.0</v>
      </c>
      <c r="K24" s="1">
        <v>46.0</v>
      </c>
      <c r="L24" s="1">
        <v>390.0</v>
      </c>
      <c r="M24" s="1">
        <v>78.0</v>
      </c>
      <c r="N24" s="1">
        <v>75.0</v>
      </c>
      <c r="O24" s="1" t="s">
        <v>21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80</v>
      </c>
      <c r="B25" s="1" t="s">
        <v>81</v>
      </c>
      <c r="C25" s="1" t="s">
        <v>24</v>
      </c>
      <c r="D25" s="1" t="s">
        <v>54</v>
      </c>
      <c r="E25" s="1" t="s">
        <v>47</v>
      </c>
      <c r="F25" s="1" t="s">
        <v>20</v>
      </c>
      <c r="G25" s="1">
        <v>59.0</v>
      </c>
      <c r="H25" s="1">
        <v>56.0</v>
      </c>
      <c r="I25" s="1">
        <v>79.0</v>
      </c>
      <c r="J25" s="1">
        <v>80.0</v>
      </c>
      <c r="K25" s="1">
        <v>90.0</v>
      </c>
      <c r="L25" s="1">
        <v>364.0</v>
      </c>
      <c r="M25" s="1">
        <v>72.8</v>
      </c>
      <c r="N25" s="1">
        <v>60.0</v>
      </c>
      <c r="O25" s="1" t="s">
        <v>21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82</v>
      </c>
      <c r="B26" s="1" t="s">
        <v>83</v>
      </c>
      <c r="C26" s="1" t="s">
        <v>24</v>
      </c>
      <c r="D26" s="1" t="s">
        <v>18</v>
      </c>
      <c r="E26" s="1" t="s">
        <v>47</v>
      </c>
      <c r="F26" s="1" t="s">
        <v>44</v>
      </c>
      <c r="G26" s="1">
        <v>90.0</v>
      </c>
      <c r="H26" s="1">
        <v>54.0</v>
      </c>
      <c r="I26" s="1">
        <v>64.0</v>
      </c>
      <c r="J26" s="1">
        <v>49.0</v>
      </c>
      <c r="K26" s="1">
        <v>67.0</v>
      </c>
      <c r="L26" s="1">
        <v>324.0</v>
      </c>
      <c r="M26" s="1">
        <v>64.8</v>
      </c>
      <c r="N26" s="1">
        <v>76.0</v>
      </c>
      <c r="O26" s="1" t="s">
        <v>21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84</v>
      </c>
      <c r="B27" s="1" t="s">
        <v>85</v>
      </c>
      <c r="C27" s="1" t="s">
        <v>17</v>
      </c>
      <c r="D27" s="1" t="s">
        <v>30</v>
      </c>
      <c r="E27" s="1" t="s">
        <v>26</v>
      </c>
      <c r="F27" s="1" t="s">
        <v>62</v>
      </c>
      <c r="G27" s="1">
        <v>68.0</v>
      </c>
      <c r="H27" s="1">
        <v>42.0</v>
      </c>
      <c r="I27" s="1">
        <v>96.0</v>
      </c>
      <c r="J27" s="1">
        <v>84.0</v>
      </c>
      <c r="K27" s="1">
        <v>53.0</v>
      </c>
      <c r="L27" s="1">
        <v>343.0</v>
      </c>
      <c r="M27" s="1">
        <v>68.6</v>
      </c>
      <c r="N27" s="1">
        <v>93.0</v>
      </c>
      <c r="O27" s="1" t="s">
        <v>21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86</v>
      </c>
      <c r="B28" s="1" t="s">
        <v>87</v>
      </c>
      <c r="C28" s="1" t="s">
        <v>17</v>
      </c>
      <c r="D28" s="1" t="s">
        <v>30</v>
      </c>
      <c r="E28" s="1" t="s">
        <v>47</v>
      </c>
      <c r="F28" s="1" t="s">
        <v>77</v>
      </c>
      <c r="G28" s="1">
        <v>100.0</v>
      </c>
      <c r="H28" s="1">
        <v>49.0</v>
      </c>
      <c r="I28" s="1">
        <v>69.0</v>
      </c>
      <c r="J28" s="1">
        <v>66.0</v>
      </c>
      <c r="K28" s="1">
        <v>72.0</v>
      </c>
      <c r="L28" s="1">
        <v>356.0</v>
      </c>
      <c r="M28" s="1">
        <v>71.2</v>
      </c>
      <c r="N28" s="1">
        <v>70.0</v>
      </c>
      <c r="O28" s="1" t="s">
        <v>21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88</v>
      </c>
      <c r="B29" s="1" t="s">
        <v>89</v>
      </c>
      <c r="C29" s="1" t="s">
        <v>17</v>
      </c>
      <c r="D29" s="1" t="s">
        <v>25</v>
      </c>
      <c r="E29" s="1" t="s">
        <v>19</v>
      </c>
      <c r="F29" s="1" t="s">
        <v>27</v>
      </c>
      <c r="G29" s="1">
        <v>77.0</v>
      </c>
      <c r="H29" s="1">
        <v>72.0</v>
      </c>
      <c r="I29" s="1">
        <v>81.0</v>
      </c>
      <c r="J29" s="1">
        <v>83.0</v>
      </c>
      <c r="K29" s="1">
        <v>76.0</v>
      </c>
      <c r="L29" s="1">
        <v>389.0</v>
      </c>
      <c r="M29" s="1">
        <v>77.8</v>
      </c>
      <c r="N29" s="1">
        <v>80.0</v>
      </c>
      <c r="O29" s="1" t="s">
        <v>21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90</v>
      </c>
      <c r="B30" s="1" t="s">
        <v>91</v>
      </c>
      <c r="C30" s="1" t="s">
        <v>17</v>
      </c>
      <c r="D30" s="1" t="s">
        <v>54</v>
      </c>
      <c r="E30" s="1" t="s">
        <v>26</v>
      </c>
      <c r="F30" s="1" t="s">
        <v>55</v>
      </c>
      <c r="G30" s="1">
        <v>91.0</v>
      </c>
      <c r="H30" s="1">
        <v>91.0</v>
      </c>
      <c r="I30" s="1">
        <v>68.0</v>
      </c>
      <c r="J30" s="1">
        <v>55.0</v>
      </c>
      <c r="K30" s="1">
        <v>94.0</v>
      </c>
      <c r="L30" s="1">
        <v>399.0</v>
      </c>
      <c r="M30" s="1">
        <v>79.8</v>
      </c>
      <c r="N30" s="1">
        <v>91.0</v>
      </c>
      <c r="O30" s="1" t="s">
        <v>21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92</v>
      </c>
      <c r="B31" s="1" t="s">
        <v>93</v>
      </c>
      <c r="C31" s="1" t="s">
        <v>24</v>
      </c>
      <c r="D31" s="1" t="s">
        <v>18</v>
      </c>
      <c r="E31" s="1" t="s">
        <v>26</v>
      </c>
      <c r="F31" s="1" t="s">
        <v>44</v>
      </c>
      <c r="G31" s="1">
        <v>58.0</v>
      </c>
      <c r="H31" s="1">
        <v>93.0</v>
      </c>
      <c r="I31" s="1">
        <v>63.0</v>
      </c>
      <c r="J31" s="1">
        <v>83.0</v>
      </c>
      <c r="K31" s="1">
        <v>44.0</v>
      </c>
      <c r="L31" s="1">
        <v>341.0</v>
      </c>
      <c r="M31" s="1">
        <v>68.2</v>
      </c>
      <c r="N31" s="1">
        <v>92.0</v>
      </c>
      <c r="O31" s="1" t="s">
        <v>21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94</v>
      </c>
      <c r="B32" s="1" t="s">
        <v>79</v>
      </c>
      <c r="C32" s="1" t="s">
        <v>17</v>
      </c>
      <c r="D32" s="1" t="s">
        <v>40</v>
      </c>
      <c r="E32" s="1" t="s">
        <v>26</v>
      </c>
      <c r="F32" s="1" t="s">
        <v>77</v>
      </c>
      <c r="G32" s="1">
        <v>61.0</v>
      </c>
      <c r="H32" s="1">
        <v>67.0</v>
      </c>
      <c r="I32" s="1">
        <v>41.0</v>
      </c>
      <c r="J32" s="1">
        <v>61.0</v>
      </c>
      <c r="K32" s="1">
        <v>92.0</v>
      </c>
      <c r="L32" s="1">
        <v>322.0</v>
      </c>
      <c r="M32" s="1">
        <v>64.4</v>
      </c>
      <c r="N32" s="1">
        <v>99.0</v>
      </c>
      <c r="O32" s="1" t="s">
        <v>21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95</v>
      </c>
      <c r="B33" s="1" t="s">
        <v>96</v>
      </c>
      <c r="C33" s="1" t="s">
        <v>24</v>
      </c>
      <c r="D33" s="1" t="s">
        <v>30</v>
      </c>
      <c r="E33" s="1" t="s">
        <v>19</v>
      </c>
      <c r="F33" s="1" t="s">
        <v>27</v>
      </c>
      <c r="G33" s="1">
        <v>63.0</v>
      </c>
      <c r="H33" s="1">
        <v>79.0</v>
      </c>
      <c r="I33" s="1">
        <v>91.0</v>
      </c>
      <c r="J33" s="1">
        <v>99.0</v>
      </c>
      <c r="K33" s="1">
        <v>41.0</v>
      </c>
      <c r="L33" s="1">
        <v>373.0</v>
      </c>
      <c r="M33" s="1">
        <v>74.6</v>
      </c>
      <c r="N33" s="1">
        <v>82.0</v>
      </c>
      <c r="O33" s="1" t="s">
        <v>21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97</v>
      </c>
      <c r="B34" s="1" t="s">
        <v>83</v>
      </c>
      <c r="C34" s="1" t="s">
        <v>17</v>
      </c>
      <c r="D34" s="1" t="s">
        <v>54</v>
      </c>
      <c r="E34" s="1" t="s">
        <v>26</v>
      </c>
      <c r="F34" s="1" t="s">
        <v>44</v>
      </c>
      <c r="G34" s="1">
        <v>72.0</v>
      </c>
      <c r="H34" s="1">
        <v>73.0</v>
      </c>
      <c r="I34" s="1">
        <v>82.0</v>
      </c>
      <c r="J34" s="1">
        <v>47.0</v>
      </c>
      <c r="K34" s="1">
        <v>69.0</v>
      </c>
      <c r="L34" s="1">
        <v>343.0</v>
      </c>
      <c r="M34" s="1">
        <v>68.6</v>
      </c>
      <c r="N34" s="1">
        <v>90.0</v>
      </c>
      <c r="O34" s="1" t="s">
        <v>21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98</v>
      </c>
      <c r="B35" s="1" t="s">
        <v>99</v>
      </c>
      <c r="C35" s="1" t="s">
        <v>24</v>
      </c>
      <c r="D35" s="1" t="s">
        <v>30</v>
      </c>
      <c r="E35" s="1" t="s">
        <v>26</v>
      </c>
      <c r="F35" s="1" t="s">
        <v>55</v>
      </c>
      <c r="G35" s="1">
        <v>55.0</v>
      </c>
      <c r="H35" s="1">
        <v>89.0</v>
      </c>
      <c r="I35" s="1">
        <v>86.0</v>
      </c>
      <c r="J35" s="1">
        <v>50.0</v>
      </c>
      <c r="K35" s="1">
        <v>67.0</v>
      </c>
      <c r="L35" s="1">
        <v>347.0</v>
      </c>
      <c r="M35" s="1">
        <v>69.4</v>
      </c>
      <c r="N35" s="1">
        <v>86.0</v>
      </c>
      <c r="O35" s="1" t="s">
        <v>21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100</v>
      </c>
      <c r="B36" s="1" t="s">
        <v>101</v>
      </c>
      <c r="C36" s="1" t="s">
        <v>17</v>
      </c>
      <c r="D36" s="1" t="s">
        <v>18</v>
      </c>
      <c r="E36" s="1" t="s">
        <v>47</v>
      </c>
      <c r="F36" s="1" t="s">
        <v>41</v>
      </c>
      <c r="G36" s="1">
        <v>54.0</v>
      </c>
      <c r="H36" s="1">
        <v>58.0</v>
      </c>
      <c r="I36" s="1">
        <v>43.0</v>
      </c>
      <c r="J36" s="1">
        <v>100.0</v>
      </c>
      <c r="K36" s="1">
        <v>48.0</v>
      </c>
      <c r="L36" s="1">
        <v>303.0</v>
      </c>
      <c r="M36" s="1">
        <v>60.6</v>
      </c>
      <c r="N36" s="1">
        <v>66.0</v>
      </c>
      <c r="O36" s="1" t="s">
        <v>21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102</v>
      </c>
      <c r="B37" s="1" t="s">
        <v>103</v>
      </c>
      <c r="C37" s="1" t="s">
        <v>17</v>
      </c>
      <c r="D37" s="1" t="s">
        <v>18</v>
      </c>
      <c r="E37" s="1" t="s">
        <v>47</v>
      </c>
      <c r="F37" s="1" t="s">
        <v>20</v>
      </c>
      <c r="G37" s="1">
        <v>64.0</v>
      </c>
      <c r="H37" s="1">
        <v>84.0</v>
      </c>
      <c r="I37" s="1">
        <v>48.0</v>
      </c>
      <c r="J37" s="1">
        <v>70.0</v>
      </c>
      <c r="K37" s="1">
        <v>100.0</v>
      </c>
      <c r="L37" s="1">
        <v>366.0</v>
      </c>
      <c r="M37" s="1">
        <v>73.2</v>
      </c>
      <c r="N37" s="1">
        <v>77.0</v>
      </c>
      <c r="O37" s="1" t="s">
        <v>21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104</v>
      </c>
      <c r="B38" s="1" t="s">
        <v>105</v>
      </c>
      <c r="C38" s="1" t="s">
        <v>24</v>
      </c>
      <c r="D38" s="1" t="s">
        <v>18</v>
      </c>
      <c r="E38" s="1" t="s">
        <v>19</v>
      </c>
      <c r="F38" s="1" t="s">
        <v>27</v>
      </c>
      <c r="G38" s="1">
        <v>92.0</v>
      </c>
      <c r="H38" s="1">
        <v>73.0</v>
      </c>
      <c r="I38" s="1">
        <v>44.0</v>
      </c>
      <c r="J38" s="1">
        <v>45.0</v>
      </c>
      <c r="K38" s="1">
        <v>91.0</v>
      </c>
      <c r="L38" s="1">
        <v>345.0</v>
      </c>
      <c r="M38" s="1">
        <v>69.0</v>
      </c>
      <c r="N38" s="1">
        <v>75.0</v>
      </c>
      <c r="O38" s="1" t="s">
        <v>21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106</v>
      </c>
      <c r="B39" s="1" t="s">
        <v>107</v>
      </c>
      <c r="C39" s="1" t="s">
        <v>24</v>
      </c>
      <c r="D39" s="1" t="s">
        <v>30</v>
      </c>
      <c r="E39" s="1" t="s">
        <v>19</v>
      </c>
      <c r="F39" s="1" t="s">
        <v>77</v>
      </c>
      <c r="G39" s="1">
        <v>94.0</v>
      </c>
      <c r="H39" s="1">
        <v>52.0</v>
      </c>
      <c r="I39" s="1">
        <v>54.0</v>
      </c>
      <c r="J39" s="1">
        <v>75.0</v>
      </c>
      <c r="K39" s="1">
        <v>54.0</v>
      </c>
      <c r="L39" s="1">
        <v>329.0</v>
      </c>
      <c r="M39" s="1">
        <v>65.8</v>
      </c>
      <c r="N39" s="1">
        <v>82.0</v>
      </c>
      <c r="O39" s="1" t="s">
        <v>21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108</v>
      </c>
      <c r="B40" s="1" t="s">
        <v>109</v>
      </c>
      <c r="C40" s="1" t="s">
        <v>24</v>
      </c>
      <c r="D40" s="1" t="s">
        <v>25</v>
      </c>
      <c r="E40" s="1" t="s">
        <v>26</v>
      </c>
      <c r="F40" s="1" t="s">
        <v>27</v>
      </c>
      <c r="G40" s="1">
        <v>55.0</v>
      </c>
      <c r="H40" s="1">
        <v>75.0</v>
      </c>
      <c r="I40" s="1">
        <v>45.0</v>
      </c>
      <c r="J40" s="1">
        <v>48.0</v>
      </c>
      <c r="K40" s="1">
        <v>72.0</v>
      </c>
      <c r="L40" s="1">
        <v>295.0</v>
      </c>
      <c r="M40" s="1">
        <v>59.0</v>
      </c>
      <c r="N40" s="1">
        <v>74.0</v>
      </c>
      <c r="O40" s="1" t="s">
        <v>21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110</v>
      </c>
      <c r="B41" s="1" t="s">
        <v>111</v>
      </c>
      <c r="C41" s="1" t="s">
        <v>24</v>
      </c>
      <c r="D41" s="1" t="s">
        <v>30</v>
      </c>
      <c r="E41" s="1" t="s">
        <v>47</v>
      </c>
      <c r="F41" s="1" t="s">
        <v>44</v>
      </c>
      <c r="G41" s="1">
        <v>71.0</v>
      </c>
      <c r="H41" s="1">
        <v>62.0</v>
      </c>
      <c r="I41" s="1">
        <v>40.0</v>
      </c>
      <c r="J41" s="1">
        <v>98.0</v>
      </c>
      <c r="K41" s="1">
        <v>56.0</v>
      </c>
      <c r="L41" s="1">
        <v>327.0</v>
      </c>
      <c r="M41" s="1">
        <v>65.4</v>
      </c>
      <c r="N41" s="1">
        <v>86.0</v>
      </c>
      <c r="O41" s="1" t="s">
        <v>21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112</v>
      </c>
      <c r="B42" s="1" t="s">
        <v>113</v>
      </c>
      <c r="C42" s="1" t="s">
        <v>24</v>
      </c>
      <c r="D42" s="1" t="s">
        <v>40</v>
      </c>
      <c r="E42" s="1" t="s">
        <v>19</v>
      </c>
      <c r="F42" s="1" t="s">
        <v>77</v>
      </c>
      <c r="G42" s="1">
        <v>55.0</v>
      </c>
      <c r="H42" s="1">
        <v>88.0</v>
      </c>
      <c r="I42" s="1">
        <v>75.0</v>
      </c>
      <c r="J42" s="1">
        <v>89.0</v>
      </c>
      <c r="K42" s="1">
        <v>69.0</v>
      </c>
      <c r="L42" s="1">
        <v>376.0</v>
      </c>
      <c r="M42" s="1">
        <v>75.2</v>
      </c>
      <c r="N42" s="1">
        <v>88.0</v>
      </c>
      <c r="O42" s="1" t="s">
        <v>21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114</v>
      </c>
      <c r="B43" s="1" t="s">
        <v>115</v>
      </c>
      <c r="C43" s="1" t="s">
        <v>17</v>
      </c>
      <c r="D43" s="1" t="s">
        <v>25</v>
      </c>
      <c r="E43" s="1" t="s">
        <v>19</v>
      </c>
      <c r="F43" s="1" t="s">
        <v>27</v>
      </c>
      <c r="G43" s="1">
        <v>42.0</v>
      </c>
      <c r="H43" s="1">
        <v>100.0</v>
      </c>
      <c r="I43" s="1">
        <v>44.0</v>
      </c>
      <c r="J43" s="1">
        <v>93.0</v>
      </c>
      <c r="K43" s="1">
        <v>75.0</v>
      </c>
      <c r="L43" s="1">
        <v>354.0</v>
      </c>
      <c r="M43" s="1">
        <v>70.8</v>
      </c>
      <c r="N43" s="1">
        <v>66.0</v>
      </c>
      <c r="O43" s="1" t="s">
        <v>21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116</v>
      </c>
      <c r="B44" s="1" t="s">
        <v>117</v>
      </c>
      <c r="C44" s="1" t="s">
        <v>24</v>
      </c>
      <c r="D44" s="1" t="s">
        <v>40</v>
      </c>
      <c r="E44" s="1" t="s">
        <v>19</v>
      </c>
      <c r="F44" s="1" t="s">
        <v>77</v>
      </c>
      <c r="G44" s="1">
        <v>88.0</v>
      </c>
      <c r="H44" s="1">
        <v>98.0</v>
      </c>
      <c r="I44" s="1">
        <v>45.0</v>
      </c>
      <c r="J44" s="1">
        <v>50.0</v>
      </c>
      <c r="K44" s="1">
        <v>53.0</v>
      </c>
      <c r="L44" s="1">
        <v>334.0</v>
      </c>
      <c r="M44" s="1">
        <v>66.8</v>
      </c>
      <c r="N44" s="1">
        <v>63.0</v>
      </c>
      <c r="O44" s="1" t="s">
        <v>21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118</v>
      </c>
      <c r="B45" s="1" t="s">
        <v>119</v>
      </c>
      <c r="C45" s="1" t="s">
        <v>24</v>
      </c>
      <c r="D45" s="1" t="s">
        <v>54</v>
      </c>
      <c r="E45" s="1" t="s">
        <v>26</v>
      </c>
      <c r="F45" s="1" t="s">
        <v>44</v>
      </c>
      <c r="G45" s="1">
        <v>85.0</v>
      </c>
      <c r="H45" s="1">
        <v>78.0</v>
      </c>
      <c r="I45" s="1">
        <v>89.0</v>
      </c>
      <c r="J45" s="1">
        <v>52.0</v>
      </c>
      <c r="K45" s="1">
        <v>47.0</v>
      </c>
      <c r="L45" s="1">
        <v>351.0</v>
      </c>
      <c r="M45" s="1">
        <v>70.2</v>
      </c>
      <c r="N45" s="1">
        <v>78.0</v>
      </c>
      <c r="O45" s="1" t="s">
        <v>21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120</v>
      </c>
      <c r="B46" s="1" t="s">
        <v>121</v>
      </c>
      <c r="C46" s="1" t="s">
        <v>24</v>
      </c>
      <c r="D46" s="1" t="s">
        <v>25</v>
      </c>
      <c r="E46" s="1" t="s">
        <v>26</v>
      </c>
      <c r="F46" s="1" t="s">
        <v>37</v>
      </c>
      <c r="G46" s="1">
        <v>52.0</v>
      </c>
      <c r="H46" s="1">
        <v>46.0</v>
      </c>
      <c r="I46" s="1">
        <v>87.0</v>
      </c>
      <c r="J46" s="1">
        <v>77.0</v>
      </c>
      <c r="K46" s="1">
        <v>55.0</v>
      </c>
      <c r="L46" s="1">
        <v>317.0</v>
      </c>
      <c r="M46" s="1">
        <v>63.4</v>
      </c>
      <c r="N46" s="1">
        <v>95.0</v>
      </c>
      <c r="O46" s="1" t="s">
        <v>21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122</v>
      </c>
      <c r="B47" s="1" t="s">
        <v>123</v>
      </c>
      <c r="C47" s="1" t="s">
        <v>24</v>
      </c>
      <c r="D47" s="1" t="s">
        <v>25</v>
      </c>
      <c r="E47" s="1" t="s">
        <v>47</v>
      </c>
      <c r="F47" s="1" t="s">
        <v>41</v>
      </c>
      <c r="G47" s="1">
        <v>41.0</v>
      </c>
      <c r="H47" s="1">
        <v>67.0</v>
      </c>
      <c r="I47" s="1">
        <v>78.0</v>
      </c>
      <c r="J47" s="1">
        <v>90.0</v>
      </c>
      <c r="K47" s="1">
        <v>71.0</v>
      </c>
      <c r="L47" s="1">
        <v>347.0</v>
      </c>
      <c r="M47" s="1">
        <v>69.4</v>
      </c>
      <c r="N47" s="1">
        <v>80.0</v>
      </c>
      <c r="O47" s="1" t="s">
        <v>21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124</v>
      </c>
      <c r="B48" s="1" t="s">
        <v>125</v>
      </c>
      <c r="C48" s="1" t="s">
        <v>17</v>
      </c>
      <c r="D48" s="1" t="s">
        <v>25</v>
      </c>
      <c r="E48" s="1" t="s">
        <v>19</v>
      </c>
      <c r="F48" s="1" t="s">
        <v>27</v>
      </c>
      <c r="G48" s="1">
        <v>77.0</v>
      </c>
      <c r="H48" s="1">
        <v>52.0</v>
      </c>
      <c r="I48" s="1">
        <v>45.0</v>
      </c>
      <c r="J48" s="1">
        <v>81.0</v>
      </c>
      <c r="K48" s="1">
        <v>57.0</v>
      </c>
      <c r="L48" s="1">
        <v>312.0</v>
      </c>
      <c r="M48" s="1">
        <v>62.4</v>
      </c>
      <c r="N48" s="1">
        <v>91.0</v>
      </c>
      <c r="O48" s="1" t="s">
        <v>21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126</v>
      </c>
      <c r="B49" s="1" t="s">
        <v>127</v>
      </c>
      <c r="C49" s="1" t="s">
        <v>24</v>
      </c>
      <c r="D49" s="1" t="s">
        <v>25</v>
      </c>
      <c r="E49" s="1" t="s">
        <v>26</v>
      </c>
      <c r="F49" s="1" t="s">
        <v>44</v>
      </c>
      <c r="G49" s="1">
        <v>70.0</v>
      </c>
      <c r="H49" s="1">
        <v>89.0</v>
      </c>
      <c r="I49" s="1">
        <v>69.0</v>
      </c>
      <c r="J49" s="1">
        <v>45.0</v>
      </c>
      <c r="K49" s="1">
        <v>77.0</v>
      </c>
      <c r="L49" s="1">
        <v>350.0</v>
      </c>
      <c r="M49" s="1">
        <v>70.0</v>
      </c>
      <c r="N49" s="1">
        <v>62.0</v>
      </c>
      <c r="O49" s="1" t="s">
        <v>21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128</v>
      </c>
      <c r="B50" s="1" t="s">
        <v>101</v>
      </c>
      <c r="C50" s="1" t="s">
        <v>17</v>
      </c>
      <c r="D50" s="1" t="s">
        <v>54</v>
      </c>
      <c r="E50" s="1" t="s">
        <v>26</v>
      </c>
      <c r="F50" s="1" t="s">
        <v>44</v>
      </c>
      <c r="G50" s="1">
        <v>46.0</v>
      </c>
      <c r="H50" s="1">
        <v>50.0</v>
      </c>
      <c r="I50" s="1">
        <v>59.0</v>
      </c>
      <c r="J50" s="1">
        <v>81.0</v>
      </c>
      <c r="K50" s="1">
        <v>51.0</v>
      </c>
      <c r="L50" s="1">
        <v>287.0</v>
      </c>
      <c r="M50" s="1">
        <v>57.4</v>
      </c>
      <c r="N50" s="1">
        <v>87.0</v>
      </c>
      <c r="O50" s="1" t="s">
        <v>21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129</v>
      </c>
      <c r="B51" s="1" t="s">
        <v>96</v>
      </c>
      <c r="C51" s="1" t="s">
        <v>24</v>
      </c>
      <c r="D51" s="1" t="s">
        <v>25</v>
      </c>
      <c r="E51" s="1" t="s">
        <v>26</v>
      </c>
      <c r="F51" s="1" t="s">
        <v>27</v>
      </c>
      <c r="G51" s="1">
        <v>72.0</v>
      </c>
      <c r="H51" s="1">
        <v>56.0</v>
      </c>
      <c r="I51" s="1">
        <v>94.0</v>
      </c>
      <c r="J51" s="1">
        <v>87.0</v>
      </c>
      <c r="K51" s="1">
        <v>40.0</v>
      </c>
      <c r="L51" s="1">
        <v>349.0</v>
      </c>
      <c r="M51" s="1">
        <v>69.8</v>
      </c>
      <c r="N51" s="1">
        <v>89.0</v>
      </c>
      <c r="O51" s="1" t="s">
        <v>21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130</v>
      </c>
      <c r="B52" s="1" t="s">
        <v>131</v>
      </c>
      <c r="C52" s="1" t="s">
        <v>17</v>
      </c>
      <c r="D52" s="1" t="s">
        <v>54</v>
      </c>
      <c r="E52" s="1" t="s">
        <v>26</v>
      </c>
      <c r="F52" s="1" t="s">
        <v>77</v>
      </c>
      <c r="G52" s="1">
        <v>64.0</v>
      </c>
      <c r="H52" s="1">
        <v>81.0</v>
      </c>
      <c r="I52" s="1">
        <v>53.0</v>
      </c>
      <c r="J52" s="1">
        <v>97.0</v>
      </c>
      <c r="K52" s="1">
        <v>72.0</v>
      </c>
      <c r="L52" s="1">
        <v>367.0</v>
      </c>
      <c r="M52" s="1">
        <v>73.4</v>
      </c>
      <c r="N52" s="1">
        <v>88.0</v>
      </c>
      <c r="O52" s="1" t="s">
        <v>21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132</v>
      </c>
      <c r="B53" s="1" t="s">
        <v>133</v>
      </c>
      <c r="C53" s="1" t="s">
        <v>17</v>
      </c>
      <c r="D53" s="1" t="s">
        <v>25</v>
      </c>
      <c r="E53" s="1" t="s">
        <v>19</v>
      </c>
      <c r="F53" s="1" t="s">
        <v>62</v>
      </c>
      <c r="G53" s="1">
        <v>47.0</v>
      </c>
      <c r="H53" s="1">
        <v>73.0</v>
      </c>
      <c r="I53" s="1">
        <v>70.0</v>
      </c>
      <c r="J53" s="1">
        <v>46.0</v>
      </c>
      <c r="K53" s="1">
        <v>72.0</v>
      </c>
      <c r="L53" s="1">
        <v>308.0</v>
      </c>
      <c r="M53" s="1">
        <v>61.6</v>
      </c>
      <c r="N53" s="1">
        <v>93.0</v>
      </c>
      <c r="O53" s="1" t="s">
        <v>21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134</v>
      </c>
      <c r="B54" s="1" t="s">
        <v>135</v>
      </c>
      <c r="C54" s="1" t="s">
        <v>24</v>
      </c>
      <c r="D54" s="1" t="s">
        <v>54</v>
      </c>
      <c r="E54" s="1" t="s">
        <v>26</v>
      </c>
      <c r="F54" s="1" t="s">
        <v>20</v>
      </c>
      <c r="G54" s="1">
        <v>61.0</v>
      </c>
      <c r="H54" s="1">
        <v>98.0</v>
      </c>
      <c r="I54" s="1">
        <v>63.0</v>
      </c>
      <c r="J54" s="1">
        <v>77.0</v>
      </c>
      <c r="K54" s="1">
        <v>81.0</v>
      </c>
      <c r="L54" s="1">
        <v>380.0</v>
      </c>
      <c r="M54" s="1">
        <v>76.0</v>
      </c>
      <c r="N54" s="1">
        <v>61.0</v>
      </c>
      <c r="O54" s="1" t="s">
        <v>21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136</v>
      </c>
      <c r="B55" s="1" t="s">
        <v>137</v>
      </c>
      <c r="C55" s="1" t="s">
        <v>24</v>
      </c>
      <c r="D55" s="1" t="s">
        <v>30</v>
      </c>
      <c r="E55" s="1" t="s">
        <v>19</v>
      </c>
      <c r="F55" s="1" t="s">
        <v>41</v>
      </c>
      <c r="G55" s="1">
        <v>56.0</v>
      </c>
      <c r="H55" s="1">
        <v>42.0</v>
      </c>
      <c r="I55" s="1">
        <v>80.0</v>
      </c>
      <c r="J55" s="1">
        <v>86.0</v>
      </c>
      <c r="K55" s="1">
        <v>64.0</v>
      </c>
      <c r="L55" s="1">
        <v>328.0</v>
      </c>
      <c r="M55" s="1">
        <v>65.6</v>
      </c>
      <c r="N55" s="1">
        <v>88.0</v>
      </c>
      <c r="O55" s="1" t="s">
        <v>21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138</v>
      </c>
      <c r="B56" s="1" t="s">
        <v>139</v>
      </c>
      <c r="C56" s="1" t="s">
        <v>17</v>
      </c>
      <c r="D56" s="1" t="s">
        <v>40</v>
      </c>
      <c r="E56" s="1" t="s">
        <v>47</v>
      </c>
      <c r="F56" s="1" t="s">
        <v>55</v>
      </c>
      <c r="G56" s="1">
        <v>92.0</v>
      </c>
      <c r="H56" s="1">
        <v>71.0</v>
      </c>
      <c r="I56" s="1">
        <v>71.0</v>
      </c>
      <c r="J56" s="1">
        <v>81.0</v>
      </c>
      <c r="K56" s="1">
        <v>100.0</v>
      </c>
      <c r="L56" s="1">
        <v>415.0</v>
      </c>
      <c r="M56" s="1">
        <v>83.0</v>
      </c>
      <c r="N56" s="1">
        <v>60.0</v>
      </c>
      <c r="O56" s="1" t="s">
        <v>21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140</v>
      </c>
      <c r="B57" s="1" t="s">
        <v>141</v>
      </c>
      <c r="C57" s="1" t="s">
        <v>24</v>
      </c>
      <c r="D57" s="1" t="s">
        <v>30</v>
      </c>
      <c r="E57" s="1" t="s">
        <v>19</v>
      </c>
      <c r="F57" s="1" t="s">
        <v>41</v>
      </c>
      <c r="G57" s="1">
        <v>50.0</v>
      </c>
      <c r="H57" s="1">
        <v>42.0</v>
      </c>
      <c r="I57" s="1">
        <v>60.0</v>
      </c>
      <c r="J57" s="1">
        <v>86.0</v>
      </c>
      <c r="K57" s="1">
        <v>60.0</v>
      </c>
      <c r="L57" s="1">
        <v>298.0</v>
      </c>
      <c r="M57" s="1">
        <v>59.6</v>
      </c>
      <c r="N57" s="1">
        <v>93.0</v>
      </c>
      <c r="O57" s="1" t="s">
        <v>21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142</v>
      </c>
      <c r="B58" s="1" t="s">
        <v>46</v>
      </c>
      <c r="C58" s="1" t="s">
        <v>24</v>
      </c>
      <c r="D58" s="1" t="s">
        <v>30</v>
      </c>
      <c r="E58" s="1" t="s">
        <v>26</v>
      </c>
      <c r="F58" s="1" t="s">
        <v>77</v>
      </c>
      <c r="G58" s="1">
        <v>62.0</v>
      </c>
      <c r="H58" s="1">
        <v>50.0</v>
      </c>
      <c r="I58" s="1">
        <v>79.0</v>
      </c>
      <c r="J58" s="1">
        <v>76.0</v>
      </c>
      <c r="K58" s="1">
        <v>52.0</v>
      </c>
      <c r="L58" s="1">
        <v>319.0</v>
      </c>
      <c r="M58" s="1">
        <v>63.8</v>
      </c>
      <c r="N58" s="1">
        <v>61.0</v>
      </c>
      <c r="O58" s="1" t="s">
        <v>21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143</v>
      </c>
      <c r="B59" s="1" t="s">
        <v>79</v>
      </c>
      <c r="C59" s="1" t="s">
        <v>17</v>
      </c>
      <c r="D59" s="1" t="s">
        <v>30</v>
      </c>
      <c r="E59" s="1" t="s">
        <v>47</v>
      </c>
      <c r="F59" s="1" t="s">
        <v>62</v>
      </c>
      <c r="G59" s="1">
        <v>76.0</v>
      </c>
      <c r="H59" s="1">
        <v>71.0</v>
      </c>
      <c r="I59" s="1">
        <v>46.0</v>
      </c>
      <c r="J59" s="1">
        <v>47.0</v>
      </c>
      <c r="K59" s="1">
        <v>66.0</v>
      </c>
      <c r="L59" s="1">
        <v>306.0</v>
      </c>
      <c r="M59" s="1">
        <v>61.2</v>
      </c>
      <c r="N59" s="1">
        <v>98.0</v>
      </c>
      <c r="O59" s="1" t="s">
        <v>21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144</v>
      </c>
      <c r="B60" s="1" t="s">
        <v>145</v>
      </c>
      <c r="C60" s="1" t="s">
        <v>17</v>
      </c>
      <c r="D60" s="1" t="s">
        <v>40</v>
      </c>
      <c r="E60" s="1" t="s">
        <v>19</v>
      </c>
      <c r="F60" s="1" t="s">
        <v>62</v>
      </c>
      <c r="G60" s="1">
        <v>95.0</v>
      </c>
      <c r="H60" s="1">
        <v>86.0</v>
      </c>
      <c r="I60" s="1">
        <v>87.0</v>
      </c>
      <c r="J60" s="1">
        <v>42.0</v>
      </c>
      <c r="K60" s="1">
        <v>67.0</v>
      </c>
      <c r="L60" s="1">
        <v>377.0</v>
      </c>
      <c r="M60" s="1">
        <v>75.4</v>
      </c>
      <c r="N60" s="1">
        <v>77.0</v>
      </c>
      <c r="O60" s="1" t="s">
        <v>21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146</v>
      </c>
      <c r="B61" s="1" t="s">
        <v>147</v>
      </c>
      <c r="C61" s="1" t="s">
        <v>24</v>
      </c>
      <c r="D61" s="1" t="s">
        <v>25</v>
      </c>
      <c r="E61" s="1" t="s">
        <v>19</v>
      </c>
      <c r="F61" s="1" t="s">
        <v>44</v>
      </c>
      <c r="G61" s="1">
        <v>91.0</v>
      </c>
      <c r="H61" s="1">
        <v>50.0</v>
      </c>
      <c r="I61" s="1">
        <v>70.0</v>
      </c>
      <c r="J61" s="1">
        <v>57.0</v>
      </c>
      <c r="K61" s="1">
        <v>79.0</v>
      </c>
      <c r="L61" s="1">
        <v>347.0</v>
      </c>
      <c r="M61" s="1">
        <v>69.4</v>
      </c>
      <c r="N61" s="1">
        <v>83.0</v>
      </c>
      <c r="O61" s="1" t="s">
        <v>21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148</v>
      </c>
      <c r="B62" s="1" t="s">
        <v>149</v>
      </c>
      <c r="C62" s="1" t="s">
        <v>17</v>
      </c>
      <c r="D62" s="1" t="s">
        <v>25</v>
      </c>
      <c r="E62" s="1" t="s">
        <v>19</v>
      </c>
      <c r="F62" s="1" t="s">
        <v>37</v>
      </c>
      <c r="G62" s="1">
        <v>87.0</v>
      </c>
      <c r="H62" s="1">
        <v>58.0</v>
      </c>
      <c r="I62" s="1">
        <v>70.0</v>
      </c>
      <c r="J62" s="1">
        <v>94.0</v>
      </c>
      <c r="K62" s="1">
        <v>50.0</v>
      </c>
      <c r="L62" s="1">
        <v>359.0</v>
      </c>
      <c r="M62" s="1">
        <v>71.8</v>
      </c>
      <c r="N62" s="1">
        <v>100.0</v>
      </c>
      <c r="O62" s="1" t="s">
        <v>21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150</v>
      </c>
      <c r="B63" s="1" t="s">
        <v>151</v>
      </c>
      <c r="C63" s="1" t="s">
        <v>17</v>
      </c>
      <c r="D63" s="1" t="s">
        <v>30</v>
      </c>
      <c r="E63" s="1" t="s">
        <v>47</v>
      </c>
      <c r="F63" s="1" t="s">
        <v>55</v>
      </c>
      <c r="G63" s="1">
        <v>85.0</v>
      </c>
      <c r="H63" s="1">
        <v>84.0</v>
      </c>
      <c r="I63" s="1">
        <v>83.0</v>
      </c>
      <c r="J63" s="1">
        <v>98.0</v>
      </c>
      <c r="K63" s="1">
        <v>79.0</v>
      </c>
      <c r="L63" s="1">
        <v>429.0</v>
      </c>
      <c r="M63" s="1">
        <v>85.8</v>
      </c>
      <c r="N63" s="1">
        <v>100.0</v>
      </c>
      <c r="O63" s="1" t="s">
        <v>21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152</v>
      </c>
      <c r="B64" s="1" t="s">
        <v>153</v>
      </c>
      <c r="C64" s="1" t="s">
        <v>17</v>
      </c>
      <c r="D64" s="1" t="s">
        <v>25</v>
      </c>
      <c r="E64" s="1" t="s">
        <v>26</v>
      </c>
      <c r="F64" s="1" t="s">
        <v>62</v>
      </c>
      <c r="G64" s="1">
        <v>76.0</v>
      </c>
      <c r="H64" s="1">
        <v>91.0</v>
      </c>
      <c r="I64" s="1">
        <v>71.0</v>
      </c>
      <c r="J64" s="1">
        <v>71.0</v>
      </c>
      <c r="K64" s="1">
        <v>80.0</v>
      </c>
      <c r="L64" s="1">
        <v>389.0</v>
      </c>
      <c r="M64" s="1">
        <v>77.8</v>
      </c>
      <c r="N64" s="1">
        <v>64.0</v>
      </c>
      <c r="O64" s="1" t="s">
        <v>21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154</v>
      </c>
      <c r="B65" s="1" t="s">
        <v>64</v>
      </c>
      <c r="C65" s="1" t="s">
        <v>17</v>
      </c>
      <c r="D65" s="1" t="s">
        <v>40</v>
      </c>
      <c r="E65" s="1" t="s">
        <v>26</v>
      </c>
      <c r="F65" s="1" t="s">
        <v>20</v>
      </c>
      <c r="G65" s="1">
        <v>56.0</v>
      </c>
      <c r="H65" s="1">
        <v>82.0</v>
      </c>
      <c r="I65" s="1">
        <v>79.0</v>
      </c>
      <c r="J65" s="1">
        <v>63.0</v>
      </c>
      <c r="K65" s="1">
        <v>79.0</v>
      </c>
      <c r="L65" s="1">
        <v>359.0</v>
      </c>
      <c r="M65" s="1">
        <v>71.8</v>
      </c>
      <c r="N65" s="1">
        <v>92.0</v>
      </c>
      <c r="O65" s="1" t="s">
        <v>21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155</v>
      </c>
      <c r="B66" s="1" t="s">
        <v>156</v>
      </c>
      <c r="C66" s="1" t="s">
        <v>24</v>
      </c>
      <c r="D66" s="1" t="s">
        <v>18</v>
      </c>
      <c r="E66" s="1" t="s">
        <v>47</v>
      </c>
      <c r="F66" s="1" t="s">
        <v>77</v>
      </c>
      <c r="G66" s="1">
        <v>55.0</v>
      </c>
      <c r="H66" s="1">
        <v>61.0</v>
      </c>
      <c r="I66" s="1">
        <v>42.0</v>
      </c>
      <c r="J66" s="1">
        <v>85.0</v>
      </c>
      <c r="K66" s="1">
        <v>63.0</v>
      </c>
      <c r="L66" s="1">
        <v>306.0</v>
      </c>
      <c r="M66" s="1">
        <v>61.2</v>
      </c>
      <c r="N66" s="1">
        <v>66.0</v>
      </c>
      <c r="O66" s="1" t="s">
        <v>21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157</v>
      </c>
      <c r="B67" s="1" t="s">
        <v>158</v>
      </c>
      <c r="C67" s="1" t="s">
        <v>17</v>
      </c>
      <c r="D67" s="1" t="s">
        <v>18</v>
      </c>
      <c r="E67" s="1" t="s">
        <v>47</v>
      </c>
      <c r="F67" s="1" t="s">
        <v>55</v>
      </c>
      <c r="G67" s="1">
        <v>88.0</v>
      </c>
      <c r="H67" s="1">
        <v>75.0</v>
      </c>
      <c r="I67" s="1">
        <v>77.0</v>
      </c>
      <c r="J67" s="1">
        <v>41.0</v>
      </c>
      <c r="K67" s="1">
        <v>84.0</v>
      </c>
      <c r="L67" s="1">
        <v>365.0</v>
      </c>
      <c r="M67" s="1">
        <v>73.0</v>
      </c>
      <c r="N67" s="1">
        <v>61.0</v>
      </c>
      <c r="O67" s="1" t="s">
        <v>21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159</v>
      </c>
      <c r="B68" s="1" t="s">
        <v>121</v>
      </c>
      <c r="C68" s="1" t="s">
        <v>24</v>
      </c>
      <c r="D68" s="1" t="s">
        <v>40</v>
      </c>
      <c r="E68" s="1" t="s">
        <v>26</v>
      </c>
      <c r="F68" s="1" t="s">
        <v>37</v>
      </c>
      <c r="G68" s="1">
        <v>98.0</v>
      </c>
      <c r="H68" s="1">
        <v>43.0</v>
      </c>
      <c r="I68" s="1">
        <v>70.0</v>
      </c>
      <c r="J68" s="1">
        <v>41.0</v>
      </c>
      <c r="K68" s="1">
        <v>94.0</v>
      </c>
      <c r="L68" s="1">
        <v>346.0</v>
      </c>
      <c r="M68" s="1">
        <v>69.2</v>
      </c>
      <c r="N68" s="1">
        <v>67.0</v>
      </c>
      <c r="O68" s="1" t="s">
        <v>21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160</v>
      </c>
      <c r="B69" s="1" t="s">
        <v>161</v>
      </c>
      <c r="C69" s="1" t="s">
        <v>24</v>
      </c>
      <c r="D69" s="1" t="s">
        <v>18</v>
      </c>
      <c r="E69" s="1" t="s">
        <v>19</v>
      </c>
      <c r="F69" s="1" t="s">
        <v>62</v>
      </c>
      <c r="G69" s="1">
        <v>43.0</v>
      </c>
      <c r="H69" s="1">
        <v>79.0</v>
      </c>
      <c r="I69" s="1">
        <v>87.0</v>
      </c>
      <c r="J69" s="1">
        <v>65.0</v>
      </c>
      <c r="K69" s="1">
        <v>95.0</v>
      </c>
      <c r="L69" s="1">
        <v>369.0</v>
      </c>
      <c r="M69" s="1">
        <v>73.8</v>
      </c>
      <c r="N69" s="1">
        <v>94.0</v>
      </c>
      <c r="O69" s="1" t="s">
        <v>21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162</v>
      </c>
      <c r="B70" s="1" t="s">
        <v>163</v>
      </c>
      <c r="C70" s="1" t="s">
        <v>17</v>
      </c>
      <c r="D70" s="1" t="s">
        <v>30</v>
      </c>
      <c r="E70" s="1" t="s">
        <v>19</v>
      </c>
      <c r="F70" s="1" t="s">
        <v>62</v>
      </c>
      <c r="G70" s="1">
        <v>82.0</v>
      </c>
      <c r="H70" s="1">
        <v>56.0</v>
      </c>
      <c r="I70" s="1">
        <v>73.0</v>
      </c>
      <c r="J70" s="1">
        <v>80.0</v>
      </c>
      <c r="K70" s="1">
        <v>47.0</v>
      </c>
      <c r="L70" s="1">
        <v>338.0</v>
      </c>
      <c r="M70" s="1">
        <v>67.6</v>
      </c>
      <c r="N70" s="1">
        <v>100.0</v>
      </c>
      <c r="O70" s="1" t="s">
        <v>21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164</v>
      </c>
      <c r="B71" s="1" t="s">
        <v>165</v>
      </c>
      <c r="C71" s="1" t="s">
        <v>17</v>
      </c>
      <c r="D71" s="1" t="s">
        <v>25</v>
      </c>
      <c r="E71" s="1" t="s">
        <v>47</v>
      </c>
      <c r="F71" s="1" t="s">
        <v>20</v>
      </c>
      <c r="G71" s="1">
        <v>52.0</v>
      </c>
      <c r="H71" s="1">
        <v>72.0</v>
      </c>
      <c r="I71" s="1">
        <v>72.0</v>
      </c>
      <c r="J71" s="1">
        <v>52.0</v>
      </c>
      <c r="K71" s="1">
        <v>94.0</v>
      </c>
      <c r="L71" s="1">
        <v>342.0</v>
      </c>
      <c r="M71" s="1">
        <v>68.4</v>
      </c>
      <c r="N71" s="1">
        <v>80.0</v>
      </c>
      <c r="O71" s="1" t="s">
        <v>21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166</v>
      </c>
      <c r="B72" s="1" t="s">
        <v>167</v>
      </c>
      <c r="C72" s="1" t="s">
        <v>17</v>
      </c>
      <c r="D72" s="1" t="s">
        <v>40</v>
      </c>
      <c r="E72" s="1" t="s">
        <v>47</v>
      </c>
      <c r="F72" s="1" t="s">
        <v>37</v>
      </c>
      <c r="G72" s="1">
        <v>47.0</v>
      </c>
      <c r="H72" s="1">
        <v>83.0</v>
      </c>
      <c r="I72" s="1">
        <v>68.0</v>
      </c>
      <c r="J72" s="1">
        <v>67.0</v>
      </c>
      <c r="K72" s="1">
        <v>61.0</v>
      </c>
      <c r="L72" s="1">
        <v>326.0</v>
      </c>
      <c r="M72" s="1">
        <v>65.2</v>
      </c>
      <c r="N72" s="1">
        <v>93.0</v>
      </c>
      <c r="O72" s="1" t="s">
        <v>21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168</v>
      </c>
      <c r="B73" s="1" t="s">
        <v>169</v>
      </c>
      <c r="C73" s="1" t="s">
        <v>17</v>
      </c>
      <c r="D73" s="1" t="s">
        <v>18</v>
      </c>
      <c r="E73" s="1" t="s">
        <v>47</v>
      </c>
      <c r="F73" s="1" t="s">
        <v>37</v>
      </c>
      <c r="G73" s="1">
        <v>73.0</v>
      </c>
      <c r="H73" s="1">
        <v>87.0</v>
      </c>
      <c r="I73" s="1">
        <v>70.0</v>
      </c>
      <c r="J73" s="1">
        <v>71.0</v>
      </c>
      <c r="K73" s="1">
        <v>42.0</v>
      </c>
      <c r="L73" s="1">
        <v>343.0</v>
      </c>
      <c r="M73" s="1">
        <v>68.6</v>
      </c>
      <c r="N73" s="1">
        <v>73.0</v>
      </c>
      <c r="O73" s="1" t="s">
        <v>21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170</v>
      </c>
      <c r="B74" s="1" t="s">
        <v>171</v>
      </c>
      <c r="C74" s="1" t="s">
        <v>17</v>
      </c>
      <c r="D74" s="1" t="s">
        <v>18</v>
      </c>
      <c r="E74" s="1" t="s">
        <v>26</v>
      </c>
      <c r="F74" s="1" t="s">
        <v>77</v>
      </c>
      <c r="G74" s="1">
        <v>87.0</v>
      </c>
      <c r="H74" s="1">
        <v>60.0</v>
      </c>
      <c r="I74" s="1">
        <v>71.0</v>
      </c>
      <c r="J74" s="1">
        <v>91.0</v>
      </c>
      <c r="K74" s="1">
        <v>42.0</v>
      </c>
      <c r="L74" s="1">
        <v>351.0</v>
      </c>
      <c r="M74" s="1">
        <v>70.2</v>
      </c>
      <c r="N74" s="1">
        <v>79.0</v>
      </c>
      <c r="O74" s="1" t="s">
        <v>21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172</v>
      </c>
      <c r="B75" s="1" t="s">
        <v>99</v>
      </c>
      <c r="C75" s="1" t="s">
        <v>17</v>
      </c>
      <c r="D75" s="1" t="s">
        <v>40</v>
      </c>
      <c r="E75" s="1" t="s">
        <v>19</v>
      </c>
      <c r="F75" s="1" t="s">
        <v>44</v>
      </c>
      <c r="G75" s="1">
        <v>88.0</v>
      </c>
      <c r="H75" s="1">
        <v>88.0</v>
      </c>
      <c r="I75" s="1">
        <v>40.0</v>
      </c>
      <c r="J75" s="1">
        <v>100.0</v>
      </c>
      <c r="K75" s="1">
        <v>78.0</v>
      </c>
      <c r="L75" s="1">
        <v>394.0</v>
      </c>
      <c r="M75" s="1">
        <v>78.8</v>
      </c>
      <c r="N75" s="1">
        <v>64.0</v>
      </c>
      <c r="O75" s="1" t="s">
        <v>21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173</v>
      </c>
      <c r="B76" s="1" t="s">
        <v>68</v>
      </c>
      <c r="C76" s="1" t="s">
        <v>24</v>
      </c>
      <c r="D76" s="1" t="s">
        <v>18</v>
      </c>
      <c r="E76" s="1" t="s">
        <v>26</v>
      </c>
      <c r="F76" s="1" t="s">
        <v>62</v>
      </c>
      <c r="G76" s="1">
        <v>55.0</v>
      </c>
      <c r="H76" s="1">
        <v>78.0</v>
      </c>
      <c r="I76" s="1">
        <v>77.0</v>
      </c>
      <c r="J76" s="1">
        <v>97.0</v>
      </c>
      <c r="K76" s="1">
        <v>60.0</v>
      </c>
      <c r="L76" s="1">
        <v>367.0</v>
      </c>
      <c r="M76" s="1">
        <v>73.4</v>
      </c>
      <c r="N76" s="1">
        <v>81.0</v>
      </c>
      <c r="O76" s="1" t="s">
        <v>21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174</v>
      </c>
      <c r="B77" s="1" t="s">
        <v>175</v>
      </c>
      <c r="C77" s="1" t="s">
        <v>17</v>
      </c>
      <c r="D77" s="1" t="s">
        <v>54</v>
      </c>
      <c r="E77" s="1" t="s">
        <v>26</v>
      </c>
      <c r="F77" s="1" t="s">
        <v>44</v>
      </c>
      <c r="G77" s="1">
        <v>62.0</v>
      </c>
      <c r="H77" s="1">
        <v>40.0</v>
      </c>
      <c r="I77" s="1">
        <v>94.0</v>
      </c>
      <c r="J77" s="1">
        <v>91.0</v>
      </c>
      <c r="K77" s="1">
        <v>55.0</v>
      </c>
      <c r="L77" s="1">
        <v>342.0</v>
      </c>
      <c r="M77" s="1">
        <v>68.4</v>
      </c>
      <c r="N77" s="1">
        <v>64.0</v>
      </c>
      <c r="O77" s="1" t="s">
        <v>21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176</v>
      </c>
      <c r="B78" s="1" t="s">
        <v>57</v>
      </c>
      <c r="C78" s="1" t="s">
        <v>24</v>
      </c>
      <c r="D78" s="1" t="s">
        <v>54</v>
      </c>
      <c r="E78" s="1" t="s">
        <v>47</v>
      </c>
      <c r="F78" s="1" t="s">
        <v>55</v>
      </c>
      <c r="G78" s="1">
        <v>41.0</v>
      </c>
      <c r="H78" s="1">
        <v>66.0</v>
      </c>
      <c r="I78" s="1">
        <v>60.0</v>
      </c>
      <c r="J78" s="1">
        <v>48.0</v>
      </c>
      <c r="K78" s="1">
        <v>87.0</v>
      </c>
      <c r="L78" s="1">
        <v>302.0</v>
      </c>
      <c r="M78" s="1">
        <v>60.4</v>
      </c>
      <c r="N78" s="1">
        <v>86.0</v>
      </c>
      <c r="O78" s="1" t="s">
        <v>21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177</v>
      </c>
      <c r="B79" s="1" t="s">
        <v>178</v>
      </c>
      <c r="C79" s="1" t="s">
        <v>17</v>
      </c>
      <c r="D79" s="1" t="s">
        <v>18</v>
      </c>
      <c r="E79" s="1" t="s">
        <v>19</v>
      </c>
      <c r="F79" s="1" t="s">
        <v>41</v>
      </c>
      <c r="G79" s="1">
        <v>84.0</v>
      </c>
      <c r="H79" s="1">
        <v>91.0</v>
      </c>
      <c r="I79" s="1">
        <v>96.0</v>
      </c>
      <c r="J79" s="1">
        <v>54.0</v>
      </c>
      <c r="K79" s="1">
        <v>89.0</v>
      </c>
      <c r="L79" s="1">
        <v>414.0</v>
      </c>
      <c r="M79" s="1">
        <v>82.8</v>
      </c>
      <c r="N79" s="1">
        <v>71.0</v>
      </c>
      <c r="O79" s="1" t="s">
        <v>21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179</v>
      </c>
      <c r="B80" s="1" t="s">
        <v>133</v>
      </c>
      <c r="C80" s="1" t="s">
        <v>24</v>
      </c>
      <c r="D80" s="1" t="s">
        <v>30</v>
      </c>
      <c r="E80" s="1" t="s">
        <v>26</v>
      </c>
      <c r="F80" s="1" t="s">
        <v>44</v>
      </c>
      <c r="G80" s="1">
        <v>59.0</v>
      </c>
      <c r="H80" s="1">
        <v>90.0</v>
      </c>
      <c r="I80" s="1">
        <v>88.0</v>
      </c>
      <c r="J80" s="1">
        <v>40.0</v>
      </c>
      <c r="K80" s="1">
        <v>53.0</v>
      </c>
      <c r="L80" s="1">
        <v>330.0</v>
      </c>
      <c r="M80" s="1">
        <v>66.0</v>
      </c>
      <c r="N80" s="1">
        <v>73.0</v>
      </c>
      <c r="O80" s="1" t="s">
        <v>21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180</v>
      </c>
      <c r="B81" s="1" t="s">
        <v>181</v>
      </c>
      <c r="C81" s="1" t="s">
        <v>17</v>
      </c>
      <c r="D81" s="1" t="s">
        <v>25</v>
      </c>
      <c r="E81" s="1" t="s">
        <v>47</v>
      </c>
      <c r="F81" s="1" t="s">
        <v>27</v>
      </c>
      <c r="G81" s="1">
        <v>96.0</v>
      </c>
      <c r="H81" s="1">
        <v>43.0</v>
      </c>
      <c r="I81" s="1">
        <v>88.0</v>
      </c>
      <c r="J81" s="1">
        <v>55.0</v>
      </c>
      <c r="K81" s="1">
        <v>56.0</v>
      </c>
      <c r="L81" s="1">
        <v>338.0</v>
      </c>
      <c r="M81" s="1">
        <v>67.6</v>
      </c>
      <c r="N81" s="1">
        <v>93.0</v>
      </c>
      <c r="O81" s="1" t="s">
        <v>21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182</v>
      </c>
      <c r="B82" s="1" t="s">
        <v>183</v>
      </c>
      <c r="C82" s="1" t="s">
        <v>24</v>
      </c>
      <c r="D82" s="1" t="s">
        <v>25</v>
      </c>
      <c r="E82" s="1" t="s">
        <v>26</v>
      </c>
      <c r="F82" s="1" t="s">
        <v>77</v>
      </c>
      <c r="G82" s="1">
        <v>61.0</v>
      </c>
      <c r="H82" s="1">
        <v>70.0</v>
      </c>
      <c r="I82" s="1">
        <v>52.0</v>
      </c>
      <c r="J82" s="1">
        <v>86.0</v>
      </c>
      <c r="K82" s="1">
        <v>61.0</v>
      </c>
      <c r="L82" s="1">
        <v>330.0</v>
      </c>
      <c r="M82" s="1">
        <v>66.0</v>
      </c>
      <c r="N82" s="1">
        <v>91.0</v>
      </c>
      <c r="O82" s="1" t="s">
        <v>21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184</v>
      </c>
      <c r="B83" s="1" t="s">
        <v>185</v>
      </c>
      <c r="C83" s="1" t="s">
        <v>24</v>
      </c>
      <c r="D83" s="1" t="s">
        <v>54</v>
      </c>
      <c r="E83" s="1" t="s">
        <v>19</v>
      </c>
      <c r="F83" s="1" t="s">
        <v>41</v>
      </c>
      <c r="G83" s="1">
        <v>40.0</v>
      </c>
      <c r="H83" s="1">
        <v>98.0</v>
      </c>
      <c r="I83" s="1">
        <v>53.0</v>
      </c>
      <c r="J83" s="1">
        <v>62.0</v>
      </c>
      <c r="K83" s="1">
        <v>83.0</v>
      </c>
      <c r="L83" s="1">
        <v>336.0</v>
      </c>
      <c r="M83" s="1">
        <v>67.2</v>
      </c>
      <c r="N83" s="1">
        <v>93.0</v>
      </c>
      <c r="O83" s="1" t="s">
        <v>21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186</v>
      </c>
      <c r="B84" s="1" t="s">
        <v>187</v>
      </c>
      <c r="C84" s="1" t="s">
        <v>24</v>
      </c>
      <c r="D84" s="1" t="s">
        <v>18</v>
      </c>
      <c r="E84" s="1" t="s">
        <v>19</v>
      </c>
      <c r="F84" s="1" t="s">
        <v>77</v>
      </c>
      <c r="G84" s="1">
        <v>69.0</v>
      </c>
      <c r="H84" s="1">
        <v>68.0</v>
      </c>
      <c r="I84" s="1">
        <v>87.0</v>
      </c>
      <c r="J84" s="1">
        <v>90.0</v>
      </c>
      <c r="K84" s="1">
        <v>68.0</v>
      </c>
      <c r="L84" s="1">
        <v>382.0</v>
      </c>
      <c r="M84" s="1">
        <v>76.4</v>
      </c>
      <c r="N84" s="1">
        <v>72.0</v>
      </c>
      <c r="O84" s="1" t="s">
        <v>21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188</v>
      </c>
      <c r="B85" s="1" t="s">
        <v>189</v>
      </c>
      <c r="C85" s="1" t="s">
        <v>17</v>
      </c>
      <c r="D85" s="1" t="s">
        <v>54</v>
      </c>
      <c r="E85" s="1" t="s">
        <v>47</v>
      </c>
      <c r="F85" s="1" t="s">
        <v>62</v>
      </c>
      <c r="G85" s="1">
        <v>46.0</v>
      </c>
      <c r="H85" s="1">
        <v>64.0</v>
      </c>
      <c r="I85" s="1">
        <v>89.0</v>
      </c>
      <c r="J85" s="1">
        <v>90.0</v>
      </c>
      <c r="K85" s="1">
        <v>44.0</v>
      </c>
      <c r="L85" s="1">
        <v>333.0</v>
      </c>
      <c r="M85" s="1">
        <v>66.6</v>
      </c>
      <c r="N85" s="1">
        <v>92.0</v>
      </c>
      <c r="O85" s="1" t="s">
        <v>21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190</v>
      </c>
      <c r="B86" s="1" t="s">
        <v>191</v>
      </c>
      <c r="C86" s="1" t="s">
        <v>24</v>
      </c>
      <c r="D86" s="1" t="s">
        <v>30</v>
      </c>
      <c r="E86" s="1" t="s">
        <v>47</v>
      </c>
      <c r="F86" s="1" t="s">
        <v>77</v>
      </c>
      <c r="G86" s="1">
        <v>63.0</v>
      </c>
      <c r="H86" s="1">
        <v>100.0</v>
      </c>
      <c r="I86" s="1">
        <v>40.0</v>
      </c>
      <c r="J86" s="1">
        <v>46.0</v>
      </c>
      <c r="K86" s="1">
        <v>49.0</v>
      </c>
      <c r="L86" s="1">
        <v>298.0</v>
      </c>
      <c r="M86" s="1">
        <v>59.6</v>
      </c>
      <c r="N86" s="1">
        <v>99.0</v>
      </c>
      <c r="O86" s="1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192</v>
      </c>
      <c r="B87" s="1" t="s">
        <v>193</v>
      </c>
      <c r="C87" s="1" t="s">
        <v>24</v>
      </c>
      <c r="D87" s="1" t="s">
        <v>40</v>
      </c>
      <c r="E87" s="1" t="s">
        <v>47</v>
      </c>
      <c r="F87" s="1" t="s">
        <v>27</v>
      </c>
      <c r="G87" s="1">
        <v>84.0</v>
      </c>
      <c r="H87" s="1">
        <v>91.0</v>
      </c>
      <c r="I87" s="1">
        <v>97.0</v>
      </c>
      <c r="J87" s="1">
        <v>73.0</v>
      </c>
      <c r="K87" s="1">
        <v>53.0</v>
      </c>
      <c r="L87" s="1">
        <v>398.0</v>
      </c>
      <c r="M87" s="1">
        <v>79.6</v>
      </c>
      <c r="N87" s="1">
        <v>60.0</v>
      </c>
      <c r="O87" s="1" t="s">
        <v>21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194</v>
      </c>
      <c r="B88" s="1" t="s">
        <v>96</v>
      </c>
      <c r="C88" s="1" t="s">
        <v>17</v>
      </c>
      <c r="D88" s="1" t="s">
        <v>54</v>
      </c>
      <c r="E88" s="1" t="s">
        <v>47</v>
      </c>
      <c r="F88" s="1" t="s">
        <v>37</v>
      </c>
      <c r="G88" s="1">
        <v>85.0</v>
      </c>
      <c r="H88" s="1">
        <v>42.0</v>
      </c>
      <c r="I88" s="1">
        <v>72.0</v>
      </c>
      <c r="J88" s="1">
        <v>60.0</v>
      </c>
      <c r="K88" s="1">
        <v>81.0</v>
      </c>
      <c r="L88" s="1">
        <v>340.0</v>
      </c>
      <c r="M88" s="1">
        <v>68.0</v>
      </c>
      <c r="N88" s="1">
        <v>84.0</v>
      </c>
      <c r="O88" s="1" t="s">
        <v>21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195</v>
      </c>
      <c r="B89" s="1" t="s">
        <v>163</v>
      </c>
      <c r="C89" s="1" t="s">
        <v>17</v>
      </c>
      <c r="D89" s="1" t="s">
        <v>54</v>
      </c>
      <c r="E89" s="1" t="s">
        <v>47</v>
      </c>
      <c r="F89" s="1" t="s">
        <v>37</v>
      </c>
      <c r="G89" s="1">
        <v>84.0</v>
      </c>
      <c r="H89" s="1">
        <v>80.0</v>
      </c>
      <c r="I89" s="1">
        <v>58.0</v>
      </c>
      <c r="J89" s="1">
        <v>88.0</v>
      </c>
      <c r="K89" s="1">
        <v>90.0</v>
      </c>
      <c r="L89" s="1">
        <v>400.0</v>
      </c>
      <c r="M89" s="1">
        <v>80.0</v>
      </c>
      <c r="N89" s="1">
        <v>63.0</v>
      </c>
      <c r="O89" s="1" t="s">
        <v>21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196</v>
      </c>
      <c r="B90" s="1" t="s">
        <v>197</v>
      </c>
      <c r="C90" s="1" t="s">
        <v>24</v>
      </c>
      <c r="D90" s="1" t="s">
        <v>25</v>
      </c>
      <c r="E90" s="1" t="s">
        <v>26</v>
      </c>
      <c r="F90" s="1" t="s">
        <v>20</v>
      </c>
      <c r="G90" s="1">
        <v>46.0</v>
      </c>
      <c r="H90" s="1">
        <v>43.0</v>
      </c>
      <c r="I90" s="1">
        <v>78.0</v>
      </c>
      <c r="J90" s="1">
        <v>79.0</v>
      </c>
      <c r="K90" s="1">
        <v>73.0</v>
      </c>
      <c r="L90" s="1">
        <v>319.0</v>
      </c>
      <c r="M90" s="1">
        <v>63.8</v>
      </c>
      <c r="N90" s="1">
        <v>95.0</v>
      </c>
      <c r="O90" s="1" t="s">
        <v>21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198</v>
      </c>
      <c r="B91" s="1" t="s">
        <v>199</v>
      </c>
      <c r="C91" s="1" t="s">
        <v>24</v>
      </c>
      <c r="D91" s="1" t="s">
        <v>18</v>
      </c>
      <c r="E91" s="1" t="s">
        <v>26</v>
      </c>
      <c r="F91" s="1" t="s">
        <v>55</v>
      </c>
      <c r="G91" s="1">
        <v>85.0</v>
      </c>
      <c r="H91" s="1">
        <v>68.0</v>
      </c>
      <c r="I91" s="1">
        <v>41.0</v>
      </c>
      <c r="J91" s="1">
        <v>88.0</v>
      </c>
      <c r="K91" s="1">
        <v>75.0</v>
      </c>
      <c r="L91" s="1">
        <v>357.0</v>
      </c>
      <c r="M91" s="1">
        <v>71.4</v>
      </c>
      <c r="N91" s="1">
        <v>91.0</v>
      </c>
      <c r="O91" s="1" t="s">
        <v>21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200</v>
      </c>
      <c r="B92" s="1" t="s">
        <v>201</v>
      </c>
      <c r="C92" s="1" t="s">
        <v>24</v>
      </c>
      <c r="D92" s="1" t="s">
        <v>18</v>
      </c>
      <c r="E92" s="1" t="s">
        <v>19</v>
      </c>
      <c r="F92" s="1" t="s">
        <v>37</v>
      </c>
      <c r="G92" s="1">
        <v>46.0</v>
      </c>
      <c r="H92" s="1">
        <v>93.0</v>
      </c>
      <c r="I92" s="1">
        <v>75.0</v>
      </c>
      <c r="J92" s="1">
        <v>98.0</v>
      </c>
      <c r="K92" s="1">
        <v>57.0</v>
      </c>
      <c r="L92" s="1">
        <v>369.0</v>
      </c>
      <c r="M92" s="1">
        <v>73.8</v>
      </c>
      <c r="N92" s="1">
        <v>96.0</v>
      </c>
      <c r="O92" s="1" t="s">
        <v>21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202</v>
      </c>
      <c r="B93" s="1" t="s">
        <v>117</v>
      </c>
      <c r="C93" s="1" t="s">
        <v>24</v>
      </c>
      <c r="D93" s="1" t="s">
        <v>30</v>
      </c>
      <c r="E93" s="1" t="s">
        <v>26</v>
      </c>
      <c r="F93" s="1" t="s">
        <v>62</v>
      </c>
      <c r="G93" s="1">
        <v>53.0</v>
      </c>
      <c r="H93" s="1">
        <v>90.0</v>
      </c>
      <c r="I93" s="1">
        <v>53.0</v>
      </c>
      <c r="J93" s="1">
        <v>63.0</v>
      </c>
      <c r="K93" s="1">
        <v>40.0</v>
      </c>
      <c r="L93" s="1">
        <v>299.0</v>
      </c>
      <c r="M93" s="1">
        <v>59.8</v>
      </c>
      <c r="N93" s="1">
        <v>85.0</v>
      </c>
      <c r="O93" s="1" t="s">
        <v>21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203</v>
      </c>
      <c r="B94" s="1" t="s">
        <v>204</v>
      </c>
      <c r="C94" s="1" t="s">
        <v>17</v>
      </c>
      <c r="D94" s="1" t="s">
        <v>25</v>
      </c>
      <c r="E94" s="1" t="s">
        <v>19</v>
      </c>
      <c r="F94" s="1" t="s">
        <v>77</v>
      </c>
      <c r="G94" s="1">
        <v>54.0</v>
      </c>
      <c r="H94" s="1">
        <v>57.0</v>
      </c>
      <c r="I94" s="1">
        <v>94.0</v>
      </c>
      <c r="J94" s="1">
        <v>79.0</v>
      </c>
      <c r="K94" s="1">
        <v>95.0</v>
      </c>
      <c r="L94" s="1">
        <v>379.0</v>
      </c>
      <c r="M94" s="1">
        <v>75.8</v>
      </c>
      <c r="N94" s="1">
        <v>93.0</v>
      </c>
      <c r="O94" s="1" t="s">
        <v>21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205</v>
      </c>
      <c r="B95" s="1" t="s">
        <v>206</v>
      </c>
      <c r="C95" s="1" t="s">
        <v>17</v>
      </c>
      <c r="D95" s="1" t="s">
        <v>18</v>
      </c>
      <c r="E95" s="1" t="s">
        <v>19</v>
      </c>
      <c r="F95" s="1" t="s">
        <v>62</v>
      </c>
      <c r="G95" s="1">
        <v>47.0</v>
      </c>
      <c r="H95" s="1">
        <v>68.0</v>
      </c>
      <c r="I95" s="1">
        <v>100.0</v>
      </c>
      <c r="J95" s="1">
        <v>91.0</v>
      </c>
      <c r="K95" s="1">
        <v>43.0</v>
      </c>
      <c r="L95" s="1">
        <v>349.0</v>
      </c>
      <c r="M95" s="1">
        <v>69.8</v>
      </c>
      <c r="N95" s="1">
        <v>93.0</v>
      </c>
      <c r="O95" s="1" t="s">
        <v>21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207</v>
      </c>
      <c r="B96" s="1" t="s">
        <v>208</v>
      </c>
      <c r="C96" s="1" t="s">
        <v>17</v>
      </c>
      <c r="D96" s="1" t="s">
        <v>25</v>
      </c>
      <c r="E96" s="1" t="s">
        <v>19</v>
      </c>
      <c r="F96" s="1" t="s">
        <v>41</v>
      </c>
      <c r="G96" s="1">
        <v>58.0</v>
      </c>
      <c r="H96" s="1">
        <v>72.0</v>
      </c>
      <c r="I96" s="1">
        <v>60.0</v>
      </c>
      <c r="J96" s="1">
        <v>45.0</v>
      </c>
      <c r="K96" s="1">
        <v>52.0</v>
      </c>
      <c r="L96" s="1">
        <v>287.0</v>
      </c>
      <c r="M96" s="1">
        <v>57.4</v>
      </c>
      <c r="N96" s="1">
        <v>99.0</v>
      </c>
      <c r="O96" s="1" t="s">
        <v>21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209</v>
      </c>
      <c r="B97" s="1" t="s">
        <v>23</v>
      </c>
      <c r="C97" s="1" t="s">
        <v>24</v>
      </c>
      <c r="D97" s="1" t="s">
        <v>18</v>
      </c>
      <c r="E97" s="1" t="s">
        <v>26</v>
      </c>
      <c r="F97" s="1" t="s">
        <v>55</v>
      </c>
      <c r="G97" s="1">
        <v>63.0</v>
      </c>
      <c r="H97" s="1">
        <v>45.0</v>
      </c>
      <c r="I97" s="1">
        <v>86.0</v>
      </c>
      <c r="J97" s="1">
        <v>91.0</v>
      </c>
      <c r="K97" s="1">
        <v>66.0</v>
      </c>
      <c r="L97" s="1">
        <v>351.0</v>
      </c>
      <c r="M97" s="1">
        <v>70.2</v>
      </c>
      <c r="N97" s="1">
        <v>76.0</v>
      </c>
      <c r="O97" s="1" t="s">
        <v>21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210</v>
      </c>
      <c r="B98" s="1" t="s">
        <v>211</v>
      </c>
      <c r="C98" s="1" t="s">
        <v>17</v>
      </c>
      <c r="D98" s="1" t="s">
        <v>25</v>
      </c>
      <c r="E98" s="1" t="s">
        <v>26</v>
      </c>
      <c r="F98" s="1" t="s">
        <v>20</v>
      </c>
      <c r="G98" s="1">
        <v>41.0</v>
      </c>
      <c r="H98" s="1">
        <v>64.0</v>
      </c>
      <c r="I98" s="1">
        <v>69.0</v>
      </c>
      <c r="J98" s="1">
        <v>85.0</v>
      </c>
      <c r="K98" s="1">
        <v>42.0</v>
      </c>
      <c r="L98" s="1">
        <v>301.0</v>
      </c>
      <c r="M98" s="1">
        <v>60.2</v>
      </c>
      <c r="N98" s="1">
        <v>66.0</v>
      </c>
      <c r="O98" s="1" t="s">
        <v>21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212</v>
      </c>
      <c r="B99" s="1" t="s">
        <v>125</v>
      </c>
      <c r="C99" s="1" t="s">
        <v>24</v>
      </c>
      <c r="D99" s="1" t="s">
        <v>25</v>
      </c>
      <c r="E99" s="1" t="s">
        <v>47</v>
      </c>
      <c r="F99" s="1" t="s">
        <v>41</v>
      </c>
      <c r="G99" s="1">
        <v>87.0</v>
      </c>
      <c r="H99" s="1">
        <v>62.0</v>
      </c>
      <c r="I99" s="1">
        <v>91.0</v>
      </c>
      <c r="J99" s="1">
        <v>94.0</v>
      </c>
      <c r="K99" s="1">
        <v>68.0</v>
      </c>
      <c r="L99" s="1">
        <v>402.0</v>
      </c>
      <c r="M99" s="1">
        <v>80.4</v>
      </c>
      <c r="N99" s="1">
        <v>89.0</v>
      </c>
      <c r="O99" s="1" t="s">
        <v>21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213</v>
      </c>
      <c r="B100" s="1" t="s">
        <v>214</v>
      </c>
      <c r="C100" s="1" t="s">
        <v>24</v>
      </c>
      <c r="D100" s="1" t="s">
        <v>40</v>
      </c>
      <c r="E100" s="1" t="s">
        <v>26</v>
      </c>
      <c r="F100" s="1" t="s">
        <v>55</v>
      </c>
      <c r="G100" s="1">
        <v>100.0</v>
      </c>
      <c r="H100" s="1">
        <v>100.0</v>
      </c>
      <c r="I100" s="1">
        <v>53.0</v>
      </c>
      <c r="J100" s="1">
        <v>42.0</v>
      </c>
      <c r="K100" s="1">
        <v>65.0</v>
      </c>
      <c r="L100" s="1">
        <v>360.0</v>
      </c>
      <c r="M100" s="1">
        <v>72.0</v>
      </c>
      <c r="N100" s="1">
        <v>96.0</v>
      </c>
      <c r="O100" s="1" t="s">
        <v>21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215</v>
      </c>
      <c r="B101" s="1" t="s">
        <v>115</v>
      </c>
      <c r="C101" s="1" t="s">
        <v>24</v>
      </c>
      <c r="D101" s="1" t="s">
        <v>30</v>
      </c>
      <c r="E101" s="1" t="s">
        <v>26</v>
      </c>
      <c r="F101" s="1" t="s">
        <v>27</v>
      </c>
      <c r="G101" s="1">
        <v>75.0</v>
      </c>
      <c r="H101" s="1">
        <v>86.0</v>
      </c>
      <c r="I101" s="1">
        <v>70.0</v>
      </c>
      <c r="J101" s="1">
        <v>54.0</v>
      </c>
      <c r="K101" s="1">
        <v>54.0</v>
      </c>
      <c r="L101" s="1">
        <v>339.0</v>
      </c>
      <c r="M101" s="1">
        <v>67.8</v>
      </c>
      <c r="N101" s="1">
        <v>72.0</v>
      </c>
      <c r="O101" s="1" t="s">
        <v>21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216</v>
      </c>
      <c r="B102" s="1" t="s">
        <v>217</v>
      </c>
      <c r="C102" s="1" t="s">
        <v>17</v>
      </c>
      <c r="D102" s="1" t="s">
        <v>25</v>
      </c>
      <c r="E102" s="1" t="s">
        <v>47</v>
      </c>
      <c r="F102" s="1" t="s">
        <v>55</v>
      </c>
      <c r="G102" s="1">
        <v>76.0</v>
      </c>
      <c r="H102" s="1">
        <v>47.0</v>
      </c>
      <c r="I102" s="1">
        <v>52.0</v>
      </c>
      <c r="J102" s="1">
        <v>68.0</v>
      </c>
      <c r="K102" s="1">
        <v>65.0</v>
      </c>
      <c r="L102" s="1">
        <v>308.0</v>
      </c>
      <c r="M102" s="1">
        <v>61.6</v>
      </c>
      <c r="N102" s="1">
        <v>77.0</v>
      </c>
      <c r="O102" s="1" t="s">
        <v>21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218</v>
      </c>
      <c r="B103" s="1" t="s">
        <v>219</v>
      </c>
      <c r="C103" s="1" t="s">
        <v>24</v>
      </c>
      <c r="D103" s="1" t="s">
        <v>40</v>
      </c>
      <c r="E103" s="1" t="s">
        <v>26</v>
      </c>
      <c r="F103" s="1" t="s">
        <v>27</v>
      </c>
      <c r="G103" s="1">
        <v>89.0</v>
      </c>
      <c r="H103" s="1">
        <v>68.0</v>
      </c>
      <c r="I103" s="1">
        <v>47.0</v>
      </c>
      <c r="J103" s="1">
        <v>56.0</v>
      </c>
      <c r="K103" s="1">
        <v>58.0</v>
      </c>
      <c r="L103" s="1">
        <v>318.0</v>
      </c>
      <c r="M103" s="1">
        <v>63.6</v>
      </c>
      <c r="N103" s="1">
        <v>71.0</v>
      </c>
      <c r="O103" s="1" t="s">
        <v>21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220</v>
      </c>
      <c r="B104" s="1" t="s">
        <v>221</v>
      </c>
      <c r="C104" s="1" t="s">
        <v>24</v>
      </c>
      <c r="D104" s="1" t="s">
        <v>54</v>
      </c>
      <c r="E104" s="1" t="s">
        <v>19</v>
      </c>
      <c r="F104" s="1" t="s">
        <v>55</v>
      </c>
      <c r="G104" s="1">
        <v>63.0</v>
      </c>
      <c r="H104" s="1">
        <v>43.0</v>
      </c>
      <c r="I104" s="1">
        <v>90.0</v>
      </c>
      <c r="J104" s="1">
        <v>72.0</v>
      </c>
      <c r="K104" s="1">
        <v>40.0</v>
      </c>
      <c r="L104" s="1">
        <v>308.0</v>
      </c>
      <c r="M104" s="1">
        <v>61.6</v>
      </c>
      <c r="N104" s="1">
        <v>78.0</v>
      </c>
      <c r="O104" s="1" t="s">
        <v>21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222</v>
      </c>
      <c r="B105" s="1" t="s">
        <v>223</v>
      </c>
      <c r="C105" s="1" t="s">
        <v>17</v>
      </c>
      <c r="D105" s="1" t="s">
        <v>25</v>
      </c>
      <c r="E105" s="1" t="s">
        <v>47</v>
      </c>
      <c r="F105" s="1" t="s">
        <v>77</v>
      </c>
      <c r="G105" s="1">
        <v>83.0</v>
      </c>
      <c r="H105" s="1">
        <v>70.0</v>
      </c>
      <c r="I105" s="1">
        <v>57.0</v>
      </c>
      <c r="J105" s="1">
        <v>81.0</v>
      </c>
      <c r="K105" s="1">
        <v>96.0</v>
      </c>
      <c r="L105" s="1">
        <v>387.0</v>
      </c>
      <c r="M105" s="1">
        <v>77.4</v>
      </c>
      <c r="N105" s="1">
        <v>62.0</v>
      </c>
      <c r="O105" s="1" t="s">
        <v>21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224</v>
      </c>
      <c r="B106" s="1" t="s">
        <v>225</v>
      </c>
      <c r="C106" s="1" t="s">
        <v>17</v>
      </c>
      <c r="D106" s="1" t="s">
        <v>54</v>
      </c>
      <c r="E106" s="1" t="s">
        <v>47</v>
      </c>
      <c r="F106" s="1" t="s">
        <v>62</v>
      </c>
      <c r="G106" s="1">
        <v>46.0</v>
      </c>
      <c r="H106" s="1">
        <v>85.0</v>
      </c>
      <c r="I106" s="1">
        <v>80.0</v>
      </c>
      <c r="J106" s="1">
        <v>80.0</v>
      </c>
      <c r="K106" s="1">
        <v>97.0</v>
      </c>
      <c r="L106" s="1">
        <v>388.0</v>
      </c>
      <c r="M106" s="1">
        <v>77.6</v>
      </c>
      <c r="N106" s="1">
        <v>72.0</v>
      </c>
      <c r="O106" s="1" t="s">
        <v>21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226</v>
      </c>
      <c r="B107" s="1" t="s">
        <v>227</v>
      </c>
      <c r="C107" s="1" t="s">
        <v>24</v>
      </c>
      <c r="D107" s="1" t="s">
        <v>18</v>
      </c>
      <c r="E107" s="1" t="s">
        <v>26</v>
      </c>
      <c r="F107" s="1" t="s">
        <v>62</v>
      </c>
      <c r="G107" s="1">
        <v>47.0</v>
      </c>
      <c r="H107" s="1">
        <v>97.0</v>
      </c>
      <c r="I107" s="1">
        <v>52.0</v>
      </c>
      <c r="J107" s="1">
        <v>58.0</v>
      </c>
      <c r="K107" s="1">
        <v>95.0</v>
      </c>
      <c r="L107" s="1">
        <v>349.0</v>
      </c>
      <c r="M107" s="1">
        <v>69.8</v>
      </c>
      <c r="N107" s="1">
        <v>94.0</v>
      </c>
      <c r="O107" s="1" t="s">
        <v>21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228</v>
      </c>
      <c r="B108" s="1" t="s">
        <v>229</v>
      </c>
      <c r="C108" s="1" t="s">
        <v>17</v>
      </c>
      <c r="D108" s="1" t="s">
        <v>18</v>
      </c>
      <c r="E108" s="1" t="s">
        <v>47</v>
      </c>
      <c r="F108" s="1" t="s">
        <v>20</v>
      </c>
      <c r="G108" s="1">
        <v>93.0</v>
      </c>
      <c r="H108" s="1">
        <v>68.0</v>
      </c>
      <c r="I108" s="1">
        <v>70.0</v>
      </c>
      <c r="J108" s="1">
        <v>67.0</v>
      </c>
      <c r="K108" s="1">
        <v>96.0</v>
      </c>
      <c r="L108" s="1">
        <v>394.0</v>
      </c>
      <c r="M108" s="1">
        <v>78.8</v>
      </c>
      <c r="N108" s="1">
        <v>71.0</v>
      </c>
      <c r="O108" s="1" t="s">
        <v>21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230</v>
      </c>
      <c r="B109" s="1" t="s">
        <v>231</v>
      </c>
      <c r="C109" s="1" t="s">
        <v>17</v>
      </c>
      <c r="D109" s="1" t="s">
        <v>40</v>
      </c>
      <c r="E109" s="1" t="s">
        <v>47</v>
      </c>
      <c r="F109" s="1" t="s">
        <v>27</v>
      </c>
      <c r="G109" s="1">
        <v>46.0</v>
      </c>
      <c r="H109" s="1">
        <v>59.0</v>
      </c>
      <c r="I109" s="1">
        <v>40.0</v>
      </c>
      <c r="J109" s="1">
        <v>100.0</v>
      </c>
      <c r="K109" s="1">
        <v>82.0</v>
      </c>
      <c r="L109" s="1">
        <v>327.0</v>
      </c>
      <c r="M109" s="1">
        <v>65.4</v>
      </c>
      <c r="N109" s="1">
        <v>76.0</v>
      </c>
      <c r="O109" s="1" t="s">
        <v>21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232</v>
      </c>
      <c r="B110" s="1" t="s">
        <v>233</v>
      </c>
      <c r="C110" s="1" t="s">
        <v>17</v>
      </c>
      <c r="D110" s="1" t="s">
        <v>30</v>
      </c>
      <c r="E110" s="1" t="s">
        <v>19</v>
      </c>
      <c r="F110" s="1" t="s">
        <v>77</v>
      </c>
      <c r="G110" s="1">
        <v>62.0</v>
      </c>
      <c r="H110" s="1">
        <v>87.0</v>
      </c>
      <c r="I110" s="1">
        <v>62.0</v>
      </c>
      <c r="J110" s="1">
        <v>73.0</v>
      </c>
      <c r="K110" s="1">
        <v>90.0</v>
      </c>
      <c r="L110" s="1">
        <v>374.0</v>
      </c>
      <c r="M110" s="1">
        <v>74.8</v>
      </c>
      <c r="N110" s="1">
        <v>83.0</v>
      </c>
      <c r="O110" s="1" t="s">
        <v>21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234</v>
      </c>
      <c r="B111" s="1" t="s">
        <v>235</v>
      </c>
      <c r="C111" s="1" t="s">
        <v>17</v>
      </c>
      <c r="D111" s="1" t="s">
        <v>25</v>
      </c>
      <c r="E111" s="1" t="s">
        <v>47</v>
      </c>
      <c r="F111" s="1" t="s">
        <v>55</v>
      </c>
      <c r="G111" s="1">
        <v>48.0</v>
      </c>
      <c r="H111" s="1">
        <v>47.0</v>
      </c>
      <c r="I111" s="1">
        <v>42.0</v>
      </c>
      <c r="J111" s="1">
        <v>69.0</v>
      </c>
      <c r="K111" s="1">
        <v>50.0</v>
      </c>
      <c r="L111" s="1">
        <v>256.0</v>
      </c>
      <c r="M111" s="1">
        <v>51.2</v>
      </c>
      <c r="N111" s="1">
        <v>71.0</v>
      </c>
      <c r="O111" s="1" t="s">
        <v>21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236</v>
      </c>
      <c r="B112" s="1" t="s">
        <v>237</v>
      </c>
      <c r="C112" s="1" t="s">
        <v>17</v>
      </c>
      <c r="D112" s="1" t="s">
        <v>54</v>
      </c>
      <c r="E112" s="1" t="s">
        <v>47</v>
      </c>
      <c r="F112" s="1" t="s">
        <v>44</v>
      </c>
      <c r="G112" s="1">
        <v>88.0</v>
      </c>
      <c r="H112" s="1">
        <v>89.0</v>
      </c>
      <c r="I112" s="1">
        <v>72.0</v>
      </c>
      <c r="J112" s="1">
        <v>42.0</v>
      </c>
      <c r="K112" s="1">
        <v>74.0</v>
      </c>
      <c r="L112" s="1">
        <v>365.0</v>
      </c>
      <c r="M112" s="1">
        <v>73.0</v>
      </c>
      <c r="N112" s="1">
        <v>64.0</v>
      </c>
      <c r="O112" s="1" t="s">
        <v>21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238</v>
      </c>
      <c r="B113" s="1" t="s">
        <v>239</v>
      </c>
      <c r="C113" s="1" t="s">
        <v>24</v>
      </c>
      <c r="D113" s="1" t="s">
        <v>30</v>
      </c>
      <c r="E113" s="1" t="s">
        <v>19</v>
      </c>
      <c r="F113" s="1" t="s">
        <v>62</v>
      </c>
      <c r="G113" s="1">
        <v>83.0</v>
      </c>
      <c r="H113" s="1">
        <v>42.0</v>
      </c>
      <c r="I113" s="1">
        <v>62.0</v>
      </c>
      <c r="J113" s="1">
        <v>42.0</v>
      </c>
      <c r="K113" s="1">
        <v>50.0</v>
      </c>
      <c r="L113" s="1">
        <v>279.0</v>
      </c>
      <c r="M113" s="1">
        <v>55.8</v>
      </c>
      <c r="N113" s="1">
        <v>78.0</v>
      </c>
      <c r="O113" s="1" t="s">
        <v>21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240</v>
      </c>
      <c r="B114" s="1" t="s">
        <v>201</v>
      </c>
      <c r="C114" s="1" t="s">
        <v>17</v>
      </c>
      <c r="D114" s="1" t="s">
        <v>25</v>
      </c>
      <c r="E114" s="1" t="s">
        <v>47</v>
      </c>
      <c r="F114" s="1" t="s">
        <v>62</v>
      </c>
      <c r="G114" s="1">
        <v>70.0</v>
      </c>
      <c r="H114" s="1">
        <v>89.0</v>
      </c>
      <c r="I114" s="1">
        <v>92.0</v>
      </c>
      <c r="J114" s="1">
        <v>80.0</v>
      </c>
      <c r="K114" s="1">
        <v>64.0</v>
      </c>
      <c r="L114" s="1">
        <v>395.0</v>
      </c>
      <c r="M114" s="1">
        <v>79.0</v>
      </c>
      <c r="N114" s="1">
        <v>90.0</v>
      </c>
      <c r="O114" s="1" t="s">
        <v>21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241</v>
      </c>
      <c r="B115" s="1" t="s">
        <v>242</v>
      </c>
      <c r="C115" s="1" t="s">
        <v>24</v>
      </c>
      <c r="D115" s="1" t="s">
        <v>40</v>
      </c>
      <c r="E115" s="1" t="s">
        <v>19</v>
      </c>
      <c r="F115" s="1" t="s">
        <v>37</v>
      </c>
      <c r="G115" s="1">
        <v>66.0</v>
      </c>
      <c r="H115" s="1">
        <v>63.0</v>
      </c>
      <c r="I115" s="1">
        <v>53.0</v>
      </c>
      <c r="J115" s="1">
        <v>83.0</v>
      </c>
      <c r="K115" s="1">
        <v>43.0</v>
      </c>
      <c r="L115" s="1">
        <v>308.0</v>
      </c>
      <c r="M115" s="1">
        <v>61.6</v>
      </c>
      <c r="N115" s="1">
        <v>95.0</v>
      </c>
      <c r="O115" s="1" t="s">
        <v>21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243</v>
      </c>
      <c r="B116" s="1" t="s">
        <v>244</v>
      </c>
      <c r="C116" s="1" t="s">
        <v>17</v>
      </c>
      <c r="D116" s="1" t="s">
        <v>25</v>
      </c>
      <c r="E116" s="1" t="s">
        <v>19</v>
      </c>
      <c r="F116" s="1" t="s">
        <v>77</v>
      </c>
      <c r="G116" s="1">
        <v>42.0</v>
      </c>
      <c r="H116" s="1">
        <v>98.0</v>
      </c>
      <c r="I116" s="1">
        <v>66.0</v>
      </c>
      <c r="J116" s="1">
        <v>89.0</v>
      </c>
      <c r="K116" s="1">
        <v>45.0</v>
      </c>
      <c r="L116" s="1">
        <v>340.0</v>
      </c>
      <c r="M116" s="1">
        <v>68.0</v>
      </c>
      <c r="N116" s="1">
        <v>94.0</v>
      </c>
      <c r="O116" s="1" t="s">
        <v>21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245</v>
      </c>
      <c r="B117" s="1" t="s">
        <v>246</v>
      </c>
      <c r="C117" s="1" t="s">
        <v>24</v>
      </c>
      <c r="D117" s="1" t="s">
        <v>40</v>
      </c>
      <c r="E117" s="1" t="s">
        <v>47</v>
      </c>
      <c r="F117" s="1" t="s">
        <v>55</v>
      </c>
      <c r="G117" s="1">
        <v>49.0</v>
      </c>
      <c r="H117" s="1">
        <v>70.0</v>
      </c>
      <c r="I117" s="1">
        <v>59.0</v>
      </c>
      <c r="J117" s="1">
        <v>85.0</v>
      </c>
      <c r="K117" s="1">
        <v>99.0</v>
      </c>
      <c r="L117" s="1">
        <v>362.0</v>
      </c>
      <c r="M117" s="1">
        <v>72.4</v>
      </c>
      <c r="N117" s="1">
        <v>61.0</v>
      </c>
      <c r="O117" s="1" t="s">
        <v>21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247</v>
      </c>
      <c r="B118" s="1" t="s">
        <v>145</v>
      </c>
      <c r="C118" s="1" t="s">
        <v>17</v>
      </c>
      <c r="D118" s="1" t="s">
        <v>54</v>
      </c>
      <c r="E118" s="1" t="s">
        <v>19</v>
      </c>
      <c r="F118" s="1" t="s">
        <v>77</v>
      </c>
      <c r="G118" s="1">
        <v>53.0</v>
      </c>
      <c r="H118" s="1">
        <v>54.0</v>
      </c>
      <c r="I118" s="1">
        <v>80.0</v>
      </c>
      <c r="J118" s="1">
        <v>44.0</v>
      </c>
      <c r="K118" s="1">
        <v>84.0</v>
      </c>
      <c r="L118" s="1">
        <v>315.0</v>
      </c>
      <c r="M118" s="1">
        <v>63.0</v>
      </c>
      <c r="N118" s="1">
        <v>97.0</v>
      </c>
      <c r="O118" s="1" t="s">
        <v>21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248</v>
      </c>
      <c r="B119" s="1" t="s">
        <v>211</v>
      </c>
      <c r="C119" s="1" t="s">
        <v>17</v>
      </c>
      <c r="D119" s="1" t="s">
        <v>54</v>
      </c>
      <c r="E119" s="1" t="s">
        <v>19</v>
      </c>
      <c r="F119" s="1" t="s">
        <v>37</v>
      </c>
      <c r="G119" s="1">
        <v>56.0</v>
      </c>
      <c r="H119" s="1">
        <v>83.0</v>
      </c>
      <c r="I119" s="1">
        <v>55.0</v>
      </c>
      <c r="J119" s="1">
        <v>95.0</v>
      </c>
      <c r="K119" s="1">
        <v>95.0</v>
      </c>
      <c r="L119" s="1">
        <v>384.0</v>
      </c>
      <c r="M119" s="1">
        <v>76.8</v>
      </c>
      <c r="N119" s="1">
        <v>93.0</v>
      </c>
      <c r="O119" s="1" t="s">
        <v>21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249</v>
      </c>
      <c r="B120" s="1" t="s">
        <v>250</v>
      </c>
      <c r="C120" s="1" t="s">
        <v>24</v>
      </c>
      <c r="D120" s="1" t="s">
        <v>18</v>
      </c>
      <c r="E120" s="1" t="s">
        <v>47</v>
      </c>
      <c r="F120" s="1" t="s">
        <v>37</v>
      </c>
      <c r="G120" s="1">
        <v>44.0</v>
      </c>
      <c r="H120" s="1">
        <v>64.0</v>
      </c>
      <c r="I120" s="1">
        <v>100.0</v>
      </c>
      <c r="J120" s="1">
        <v>97.0</v>
      </c>
      <c r="K120" s="1">
        <v>86.0</v>
      </c>
      <c r="L120" s="1">
        <v>391.0</v>
      </c>
      <c r="M120" s="1">
        <v>78.2</v>
      </c>
      <c r="N120" s="1">
        <v>83.0</v>
      </c>
      <c r="O120" s="1" t="s">
        <v>21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251</v>
      </c>
      <c r="B121" s="1" t="s">
        <v>252</v>
      </c>
      <c r="C121" s="1" t="s">
        <v>24</v>
      </c>
      <c r="D121" s="1" t="s">
        <v>54</v>
      </c>
      <c r="E121" s="1" t="s">
        <v>19</v>
      </c>
      <c r="F121" s="1" t="s">
        <v>20</v>
      </c>
      <c r="G121" s="1">
        <v>61.0</v>
      </c>
      <c r="H121" s="1">
        <v>53.0</v>
      </c>
      <c r="I121" s="1">
        <v>97.0</v>
      </c>
      <c r="J121" s="1">
        <v>51.0</v>
      </c>
      <c r="K121" s="1">
        <v>100.0</v>
      </c>
      <c r="L121" s="1">
        <v>362.0</v>
      </c>
      <c r="M121" s="1">
        <v>72.4</v>
      </c>
      <c r="N121" s="1">
        <v>99.0</v>
      </c>
      <c r="O121" s="1" t="s">
        <v>21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253</v>
      </c>
      <c r="B122" s="1" t="s">
        <v>250</v>
      </c>
      <c r="C122" s="1" t="s">
        <v>17</v>
      </c>
      <c r="D122" s="1" t="s">
        <v>25</v>
      </c>
      <c r="E122" s="1" t="s">
        <v>19</v>
      </c>
      <c r="F122" s="1" t="s">
        <v>55</v>
      </c>
      <c r="G122" s="1">
        <v>84.0</v>
      </c>
      <c r="H122" s="1">
        <v>75.0</v>
      </c>
      <c r="I122" s="1">
        <v>54.0</v>
      </c>
      <c r="J122" s="1">
        <v>88.0</v>
      </c>
      <c r="K122" s="1">
        <v>88.0</v>
      </c>
      <c r="L122" s="1">
        <v>389.0</v>
      </c>
      <c r="M122" s="1">
        <v>77.8</v>
      </c>
      <c r="N122" s="1">
        <v>61.0</v>
      </c>
      <c r="O122" s="1" t="s">
        <v>21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254</v>
      </c>
      <c r="B123" s="1" t="s">
        <v>107</v>
      </c>
      <c r="C123" s="1" t="s">
        <v>24</v>
      </c>
      <c r="D123" s="1" t="s">
        <v>54</v>
      </c>
      <c r="E123" s="1" t="s">
        <v>26</v>
      </c>
      <c r="F123" s="1" t="s">
        <v>27</v>
      </c>
      <c r="G123" s="1">
        <v>54.0</v>
      </c>
      <c r="H123" s="1">
        <v>99.0</v>
      </c>
      <c r="I123" s="1">
        <v>42.0</v>
      </c>
      <c r="J123" s="1">
        <v>58.0</v>
      </c>
      <c r="K123" s="1">
        <v>45.0</v>
      </c>
      <c r="L123" s="1">
        <v>298.0</v>
      </c>
      <c r="M123" s="1">
        <v>59.6</v>
      </c>
      <c r="N123" s="1">
        <v>64.0</v>
      </c>
      <c r="O123" s="1" t="s">
        <v>21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255</v>
      </c>
      <c r="B124" s="1" t="s">
        <v>256</v>
      </c>
      <c r="C124" s="1" t="s">
        <v>17</v>
      </c>
      <c r="D124" s="1" t="s">
        <v>18</v>
      </c>
      <c r="E124" s="1" t="s">
        <v>47</v>
      </c>
      <c r="F124" s="1" t="s">
        <v>44</v>
      </c>
      <c r="G124" s="1">
        <v>71.0</v>
      </c>
      <c r="H124" s="1">
        <v>91.0</v>
      </c>
      <c r="I124" s="1">
        <v>58.0</v>
      </c>
      <c r="J124" s="1">
        <v>91.0</v>
      </c>
      <c r="K124" s="1">
        <v>40.0</v>
      </c>
      <c r="L124" s="1">
        <v>351.0</v>
      </c>
      <c r="M124" s="1">
        <v>70.2</v>
      </c>
      <c r="N124" s="1">
        <v>89.0</v>
      </c>
      <c r="O124" s="1" t="s">
        <v>21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257</v>
      </c>
      <c r="B125" s="1" t="s">
        <v>204</v>
      </c>
      <c r="C125" s="1" t="s">
        <v>24</v>
      </c>
      <c r="D125" s="1" t="s">
        <v>54</v>
      </c>
      <c r="E125" s="1" t="s">
        <v>47</v>
      </c>
      <c r="F125" s="1" t="s">
        <v>77</v>
      </c>
      <c r="G125" s="1">
        <v>50.0</v>
      </c>
      <c r="H125" s="1">
        <v>79.0</v>
      </c>
      <c r="I125" s="1">
        <v>78.0</v>
      </c>
      <c r="J125" s="1">
        <v>53.0</v>
      </c>
      <c r="K125" s="1">
        <v>49.0</v>
      </c>
      <c r="L125" s="1">
        <v>309.0</v>
      </c>
      <c r="M125" s="1">
        <v>61.8</v>
      </c>
      <c r="N125" s="1">
        <v>96.0</v>
      </c>
      <c r="O125" s="1" t="s">
        <v>21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258</v>
      </c>
      <c r="B126" s="1" t="s">
        <v>259</v>
      </c>
      <c r="C126" s="1" t="s">
        <v>24</v>
      </c>
      <c r="D126" s="1" t="s">
        <v>30</v>
      </c>
      <c r="E126" s="1" t="s">
        <v>19</v>
      </c>
      <c r="F126" s="1" t="s">
        <v>41</v>
      </c>
      <c r="G126" s="1">
        <v>63.0</v>
      </c>
      <c r="H126" s="1">
        <v>48.0</v>
      </c>
      <c r="I126" s="1">
        <v>47.0</v>
      </c>
      <c r="J126" s="1">
        <v>68.0</v>
      </c>
      <c r="K126" s="1">
        <v>57.0</v>
      </c>
      <c r="L126" s="1">
        <v>283.0</v>
      </c>
      <c r="M126" s="1">
        <v>56.6</v>
      </c>
      <c r="N126" s="1">
        <v>82.0</v>
      </c>
      <c r="O126" s="1" t="s">
        <v>21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260</v>
      </c>
      <c r="B127" s="1" t="s">
        <v>261</v>
      </c>
      <c r="C127" s="1" t="s">
        <v>24</v>
      </c>
      <c r="D127" s="1" t="s">
        <v>54</v>
      </c>
      <c r="E127" s="1" t="s">
        <v>19</v>
      </c>
      <c r="F127" s="1" t="s">
        <v>20</v>
      </c>
      <c r="G127" s="1">
        <v>95.0</v>
      </c>
      <c r="H127" s="1">
        <v>58.0</v>
      </c>
      <c r="I127" s="1">
        <v>65.0</v>
      </c>
      <c r="J127" s="1">
        <v>58.0</v>
      </c>
      <c r="K127" s="1">
        <v>71.0</v>
      </c>
      <c r="L127" s="1">
        <v>347.0</v>
      </c>
      <c r="M127" s="1">
        <v>69.4</v>
      </c>
      <c r="N127" s="1">
        <v>63.0</v>
      </c>
      <c r="O127" s="1" t="s">
        <v>21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262</v>
      </c>
      <c r="B128" s="1" t="s">
        <v>263</v>
      </c>
      <c r="C128" s="1" t="s">
        <v>17</v>
      </c>
      <c r="D128" s="1" t="s">
        <v>30</v>
      </c>
      <c r="E128" s="1" t="s">
        <v>47</v>
      </c>
      <c r="F128" s="1" t="s">
        <v>44</v>
      </c>
      <c r="G128" s="1">
        <v>46.0</v>
      </c>
      <c r="H128" s="1">
        <v>59.0</v>
      </c>
      <c r="I128" s="1">
        <v>44.0</v>
      </c>
      <c r="J128" s="1">
        <v>44.0</v>
      </c>
      <c r="K128" s="1">
        <v>77.0</v>
      </c>
      <c r="L128" s="1">
        <v>270.0</v>
      </c>
      <c r="M128" s="1">
        <v>54.0</v>
      </c>
      <c r="N128" s="1">
        <v>96.0</v>
      </c>
      <c r="O128" s="1" t="s">
        <v>21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264</v>
      </c>
      <c r="B129" s="1" t="s">
        <v>265</v>
      </c>
      <c r="C129" s="1" t="s">
        <v>24</v>
      </c>
      <c r="D129" s="1" t="s">
        <v>25</v>
      </c>
      <c r="E129" s="1" t="s">
        <v>47</v>
      </c>
      <c r="F129" s="1" t="s">
        <v>27</v>
      </c>
      <c r="G129" s="1">
        <v>49.0</v>
      </c>
      <c r="H129" s="1">
        <v>81.0</v>
      </c>
      <c r="I129" s="1">
        <v>77.0</v>
      </c>
      <c r="J129" s="1">
        <v>83.0</v>
      </c>
      <c r="K129" s="1">
        <v>98.0</v>
      </c>
      <c r="L129" s="1">
        <v>388.0</v>
      </c>
      <c r="M129" s="1">
        <v>77.6</v>
      </c>
      <c r="N129" s="1">
        <v>95.0</v>
      </c>
      <c r="O129" s="1" t="s">
        <v>21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266</v>
      </c>
      <c r="B130" s="1" t="s">
        <v>242</v>
      </c>
      <c r="C130" s="1" t="s">
        <v>17</v>
      </c>
      <c r="D130" s="1" t="s">
        <v>25</v>
      </c>
      <c r="E130" s="1" t="s">
        <v>26</v>
      </c>
      <c r="F130" s="1" t="s">
        <v>55</v>
      </c>
      <c r="G130" s="1">
        <v>74.0</v>
      </c>
      <c r="H130" s="1">
        <v>73.0</v>
      </c>
      <c r="I130" s="1">
        <v>74.0</v>
      </c>
      <c r="J130" s="1">
        <v>59.0</v>
      </c>
      <c r="K130" s="1">
        <v>85.0</v>
      </c>
      <c r="L130" s="1">
        <v>365.0</v>
      </c>
      <c r="M130" s="1">
        <v>73.0</v>
      </c>
      <c r="N130" s="1">
        <v>74.0</v>
      </c>
      <c r="O130" s="1" t="s">
        <v>21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267</v>
      </c>
      <c r="B131" s="1" t="s">
        <v>268</v>
      </c>
      <c r="C131" s="1" t="s">
        <v>17</v>
      </c>
      <c r="D131" s="1" t="s">
        <v>40</v>
      </c>
      <c r="E131" s="1" t="s">
        <v>47</v>
      </c>
      <c r="F131" s="1" t="s">
        <v>44</v>
      </c>
      <c r="G131" s="1">
        <v>65.0</v>
      </c>
      <c r="H131" s="1">
        <v>83.0</v>
      </c>
      <c r="I131" s="1">
        <v>97.0</v>
      </c>
      <c r="J131" s="1">
        <v>81.0</v>
      </c>
      <c r="K131" s="1">
        <v>97.0</v>
      </c>
      <c r="L131" s="1">
        <v>423.0</v>
      </c>
      <c r="M131" s="1">
        <v>84.6</v>
      </c>
      <c r="N131" s="1">
        <v>70.0</v>
      </c>
      <c r="O131" s="1" t="s">
        <v>21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269</v>
      </c>
      <c r="B132" s="1" t="s">
        <v>270</v>
      </c>
      <c r="C132" s="1" t="s">
        <v>17</v>
      </c>
      <c r="D132" s="1" t="s">
        <v>40</v>
      </c>
      <c r="E132" s="1" t="s">
        <v>26</v>
      </c>
      <c r="F132" s="1" t="s">
        <v>41</v>
      </c>
      <c r="G132" s="1">
        <v>46.0</v>
      </c>
      <c r="H132" s="1">
        <v>78.0</v>
      </c>
      <c r="I132" s="1">
        <v>75.0</v>
      </c>
      <c r="J132" s="1">
        <v>46.0</v>
      </c>
      <c r="K132" s="1">
        <v>45.0</v>
      </c>
      <c r="L132" s="1">
        <v>290.0</v>
      </c>
      <c r="M132" s="1">
        <v>58.0</v>
      </c>
      <c r="N132" s="1">
        <v>75.0</v>
      </c>
      <c r="O132" s="1" t="s">
        <v>21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271</v>
      </c>
      <c r="B133" s="1" t="s">
        <v>235</v>
      </c>
      <c r="C133" s="1" t="s">
        <v>24</v>
      </c>
      <c r="D133" s="1" t="s">
        <v>54</v>
      </c>
      <c r="E133" s="1" t="s">
        <v>26</v>
      </c>
      <c r="F133" s="1" t="s">
        <v>55</v>
      </c>
      <c r="G133" s="1">
        <v>93.0</v>
      </c>
      <c r="H133" s="1">
        <v>94.0</v>
      </c>
      <c r="I133" s="1">
        <v>47.0</v>
      </c>
      <c r="J133" s="1">
        <v>45.0</v>
      </c>
      <c r="K133" s="1">
        <v>54.0</v>
      </c>
      <c r="L133" s="1">
        <v>333.0</v>
      </c>
      <c r="M133" s="1">
        <v>66.6</v>
      </c>
      <c r="N133" s="1">
        <v>90.0</v>
      </c>
      <c r="O133" s="1" t="s">
        <v>21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272</v>
      </c>
      <c r="B134" s="1" t="s">
        <v>59</v>
      </c>
      <c r="C134" s="1" t="s">
        <v>17</v>
      </c>
      <c r="D134" s="1" t="s">
        <v>18</v>
      </c>
      <c r="E134" s="1" t="s">
        <v>47</v>
      </c>
      <c r="F134" s="1" t="s">
        <v>27</v>
      </c>
      <c r="G134" s="1">
        <v>85.0</v>
      </c>
      <c r="H134" s="1">
        <v>83.0</v>
      </c>
      <c r="I134" s="1">
        <v>67.0</v>
      </c>
      <c r="J134" s="1">
        <v>87.0</v>
      </c>
      <c r="K134" s="1">
        <v>71.0</v>
      </c>
      <c r="L134" s="1">
        <v>393.0</v>
      </c>
      <c r="M134" s="1">
        <v>78.6</v>
      </c>
      <c r="N134" s="1">
        <v>66.0</v>
      </c>
      <c r="O134" s="1" t="s">
        <v>21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273</v>
      </c>
      <c r="B135" s="1" t="s">
        <v>274</v>
      </c>
      <c r="C135" s="1" t="s">
        <v>17</v>
      </c>
      <c r="D135" s="1" t="s">
        <v>40</v>
      </c>
      <c r="E135" s="1" t="s">
        <v>26</v>
      </c>
      <c r="F135" s="1" t="s">
        <v>41</v>
      </c>
      <c r="G135" s="1">
        <v>85.0</v>
      </c>
      <c r="H135" s="1">
        <v>83.0</v>
      </c>
      <c r="I135" s="1">
        <v>91.0</v>
      </c>
      <c r="J135" s="1">
        <v>64.0</v>
      </c>
      <c r="K135" s="1">
        <v>47.0</v>
      </c>
      <c r="L135" s="1">
        <v>370.0</v>
      </c>
      <c r="M135" s="1">
        <v>74.0</v>
      </c>
      <c r="N135" s="1">
        <v>75.0</v>
      </c>
      <c r="O135" s="1" t="s">
        <v>21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275</v>
      </c>
      <c r="B136" s="1" t="s">
        <v>51</v>
      </c>
      <c r="C136" s="1" t="s">
        <v>17</v>
      </c>
      <c r="D136" s="1" t="s">
        <v>18</v>
      </c>
      <c r="E136" s="1" t="s">
        <v>47</v>
      </c>
      <c r="F136" s="1" t="s">
        <v>55</v>
      </c>
      <c r="G136" s="1">
        <v>49.0</v>
      </c>
      <c r="H136" s="1">
        <v>97.0</v>
      </c>
      <c r="I136" s="1">
        <v>63.0</v>
      </c>
      <c r="J136" s="1">
        <v>55.0</v>
      </c>
      <c r="K136" s="1">
        <v>92.0</v>
      </c>
      <c r="L136" s="1">
        <v>356.0</v>
      </c>
      <c r="M136" s="1">
        <v>71.2</v>
      </c>
      <c r="N136" s="1">
        <v>61.0</v>
      </c>
      <c r="O136" s="1" t="s">
        <v>21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276</v>
      </c>
      <c r="B137" s="1" t="s">
        <v>277</v>
      </c>
      <c r="C137" s="1" t="s">
        <v>24</v>
      </c>
      <c r="D137" s="1" t="s">
        <v>54</v>
      </c>
      <c r="E137" s="1" t="s">
        <v>47</v>
      </c>
      <c r="F137" s="1" t="s">
        <v>20</v>
      </c>
      <c r="G137" s="1">
        <v>55.0</v>
      </c>
      <c r="H137" s="1">
        <v>42.0</v>
      </c>
      <c r="I137" s="1">
        <v>68.0</v>
      </c>
      <c r="J137" s="1">
        <v>99.0</v>
      </c>
      <c r="K137" s="1">
        <v>91.0</v>
      </c>
      <c r="L137" s="1">
        <v>355.0</v>
      </c>
      <c r="M137" s="1">
        <v>71.0</v>
      </c>
      <c r="N137" s="1">
        <v>61.0</v>
      </c>
      <c r="O137" s="1" t="s">
        <v>21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278</v>
      </c>
      <c r="B138" s="1" t="s">
        <v>279</v>
      </c>
      <c r="C138" s="1" t="s">
        <v>24</v>
      </c>
      <c r="D138" s="1" t="s">
        <v>54</v>
      </c>
      <c r="E138" s="1" t="s">
        <v>19</v>
      </c>
      <c r="F138" s="1" t="s">
        <v>62</v>
      </c>
      <c r="G138" s="1">
        <v>69.0</v>
      </c>
      <c r="H138" s="1">
        <v>82.0</v>
      </c>
      <c r="I138" s="1">
        <v>91.0</v>
      </c>
      <c r="J138" s="1">
        <v>100.0</v>
      </c>
      <c r="K138" s="1">
        <v>60.0</v>
      </c>
      <c r="L138" s="1">
        <v>402.0</v>
      </c>
      <c r="M138" s="1">
        <v>80.4</v>
      </c>
      <c r="N138" s="1">
        <v>79.0</v>
      </c>
      <c r="O138" s="1" t="s">
        <v>21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280</v>
      </c>
      <c r="B139" s="1" t="s">
        <v>281</v>
      </c>
      <c r="C139" s="1" t="s">
        <v>24</v>
      </c>
      <c r="D139" s="1" t="s">
        <v>18</v>
      </c>
      <c r="E139" s="1" t="s">
        <v>19</v>
      </c>
      <c r="F139" s="1" t="s">
        <v>77</v>
      </c>
      <c r="G139" s="1">
        <v>46.0</v>
      </c>
      <c r="H139" s="1">
        <v>94.0</v>
      </c>
      <c r="I139" s="1">
        <v>100.0</v>
      </c>
      <c r="J139" s="1">
        <v>97.0</v>
      </c>
      <c r="K139" s="1">
        <v>47.0</v>
      </c>
      <c r="L139" s="1">
        <v>384.0</v>
      </c>
      <c r="M139" s="1">
        <v>76.8</v>
      </c>
      <c r="N139" s="1">
        <v>62.0</v>
      </c>
      <c r="O139" s="1" t="s">
        <v>21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282</v>
      </c>
      <c r="B140" s="1" t="s">
        <v>283</v>
      </c>
      <c r="C140" s="1" t="s">
        <v>17</v>
      </c>
      <c r="D140" s="1" t="s">
        <v>40</v>
      </c>
      <c r="E140" s="1" t="s">
        <v>19</v>
      </c>
      <c r="F140" s="1" t="s">
        <v>44</v>
      </c>
      <c r="G140" s="1">
        <v>93.0</v>
      </c>
      <c r="H140" s="1">
        <v>79.0</v>
      </c>
      <c r="I140" s="1">
        <v>59.0</v>
      </c>
      <c r="J140" s="1">
        <v>56.0</v>
      </c>
      <c r="K140" s="1">
        <v>73.0</v>
      </c>
      <c r="L140" s="1">
        <v>360.0</v>
      </c>
      <c r="M140" s="1">
        <v>72.0</v>
      </c>
      <c r="N140" s="1">
        <v>63.0</v>
      </c>
      <c r="O140" s="1" t="s">
        <v>21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284</v>
      </c>
      <c r="B141" s="1" t="s">
        <v>285</v>
      </c>
      <c r="C141" s="1" t="s">
        <v>17</v>
      </c>
      <c r="D141" s="1" t="s">
        <v>40</v>
      </c>
      <c r="E141" s="1" t="s">
        <v>47</v>
      </c>
      <c r="F141" s="1" t="s">
        <v>20</v>
      </c>
      <c r="G141" s="1">
        <v>45.0</v>
      </c>
      <c r="H141" s="1">
        <v>51.0</v>
      </c>
      <c r="I141" s="1">
        <v>40.0</v>
      </c>
      <c r="J141" s="1">
        <v>79.0</v>
      </c>
      <c r="K141" s="1">
        <v>67.0</v>
      </c>
      <c r="L141" s="1">
        <v>282.0</v>
      </c>
      <c r="M141" s="1">
        <v>56.4</v>
      </c>
      <c r="N141" s="1">
        <v>87.0</v>
      </c>
      <c r="O141" s="1" t="s">
        <v>21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286</v>
      </c>
      <c r="B142" s="1" t="s">
        <v>287</v>
      </c>
      <c r="C142" s="1" t="s">
        <v>24</v>
      </c>
      <c r="D142" s="1" t="s">
        <v>18</v>
      </c>
      <c r="E142" s="1" t="s">
        <v>47</v>
      </c>
      <c r="F142" s="1" t="s">
        <v>20</v>
      </c>
      <c r="G142" s="1">
        <v>43.0</v>
      </c>
      <c r="H142" s="1">
        <v>76.0</v>
      </c>
      <c r="I142" s="1">
        <v>78.0</v>
      </c>
      <c r="J142" s="1">
        <v>42.0</v>
      </c>
      <c r="K142" s="1">
        <v>85.0</v>
      </c>
      <c r="L142" s="1">
        <v>324.0</v>
      </c>
      <c r="M142" s="1">
        <v>64.8</v>
      </c>
      <c r="N142" s="1">
        <v>60.0</v>
      </c>
      <c r="O142" s="1" t="s">
        <v>21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288</v>
      </c>
      <c r="B143" s="1" t="s">
        <v>289</v>
      </c>
      <c r="C143" s="1" t="s">
        <v>24</v>
      </c>
      <c r="D143" s="1" t="s">
        <v>40</v>
      </c>
      <c r="E143" s="1" t="s">
        <v>26</v>
      </c>
      <c r="F143" s="1" t="s">
        <v>41</v>
      </c>
      <c r="G143" s="1">
        <v>85.0</v>
      </c>
      <c r="H143" s="1">
        <v>51.0</v>
      </c>
      <c r="I143" s="1">
        <v>49.0</v>
      </c>
      <c r="J143" s="1">
        <v>99.0</v>
      </c>
      <c r="K143" s="1">
        <v>79.0</v>
      </c>
      <c r="L143" s="1">
        <v>363.0</v>
      </c>
      <c r="M143" s="1">
        <v>72.6</v>
      </c>
      <c r="N143" s="1">
        <v>79.0</v>
      </c>
      <c r="O143" s="1" t="s">
        <v>21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290</v>
      </c>
      <c r="B144" s="1" t="s">
        <v>291</v>
      </c>
      <c r="C144" s="1" t="s">
        <v>24</v>
      </c>
      <c r="D144" s="1" t="s">
        <v>25</v>
      </c>
      <c r="E144" s="1" t="s">
        <v>19</v>
      </c>
      <c r="F144" s="1" t="s">
        <v>55</v>
      </c>
      <c r="G144" s="1">
        <v>77.0</v>
      </c>
      <c r="H144" s="1">
        <v>48.0</v>
      </c>
      <c r="I144" s="1">
        <v>82.0</v>
      </c>
      <c r="J144" s="1">
        <v>44.0</v>
      </c>
      <c r="K144" s="1">
        <v>74.0</v>
      </c>
      <c r="L144" s="1">
        <v>325.0</v>
      </c>
      <c r="M144" s="1">
        <v>65.0</v>
      </c>
      <c r="N144" s="1">
        <v>72.0</v>
      </c>
      <c r="O144" s="1" t="s">
        <v>21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292</v>
      </c>
      <c r="B145" s="1" t="s">
        <v>277</v>
      </c>
      <c r="C145" s="1" t="s">
        <v>17</v>
      </c>
      <c r="D145" s="1" t="s">
        <v>25</v>
      </c>
      <c r="E145" s="1" t="s">
        <v>26</v>
      </c>
      <c r="F145" s="1" t="s">
        <v>37</v>
      </c>
      <c r="G145" s="1">
        <v>75.0</v>
      </c>
      <c r="H145" s="1">
        <v>64.0</v>
      </c>
      <c r="I145" s="1">
        <v>69.0</v>
      </c>
      <c r="J145" s="1">
        <v>59.0</v>
      </c>
      <c r="K145" s="1">
        <v>62.0</v>
      </c>
      <c r="L145" s="1">
        <v>329.0</v>
      </c>
      <c r="M145" s="1">
        <v>65.8</v>
      </c>
      <c r="N145" s="1">
        <v>62.0</v>
      </c>
      <c r="O145" s="1" t="s">
        <v>21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293</v>
      </c>
      <c r="B146" s="1" t="s">
        <v>59</v>
      </c>
      <c r="C146" s="1" t="s">
        <v>17</v>
      </c>
      <c r="D146" s="1" t="s">
        <v>54</v>
      </c>
      <c r="E146" s="1" t="s">
        <v>26</v>
      </c>
      <c r="F146" s="1" t="s">
        <v>77</v>
      </c>
      <c r="G146" s="1">
        <v>56.0</v>
      </c>
      <c r="H146" s="1">
        <v>82.0</v>
      </c>
      <c r="I146" s="1">
        <v>81.0</v>
      </c>
      <c r="J146" s="1">
        <v>42.0</v>
      </c>
      <c r="K146" s="1">
        <v>51.0</v>
      </c>
      <c r="L146" s="1">
        <v>312.0</v>
      </c>
      <c r="M146" s="1">
        <v>62.4</v>
      </c>
      <c r="N146" s="1">
        <v>65.0</v>
      </c>
      <c r="O146" s="1" t="s">
        <v>21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294</v>
      </c>
      <c r="B147" s="1" t="s">
        <v>295</v>
      </c>
      <c r="C147" s="1" t="s">
        <v>24</v>
      </c>
      <c r="D147" s="1" t="s">
        <v>25</v>
      </c>
      <c r="E147" s="1" t="s">
        <v>19</v>
      </c>
      <c r="F147" s="1" t="s">
        <v>41</v>
      </c>
      <c r="G147" s="1">
        <v>100.0</v>
      </c>
      <c r="H147" s="1">
        <v>53.0</v>
      </c>
      <c r="I147" s="1">
        <v>73.0</v>
      </c>
      <c r="J147" s="1">
        <v>66.0</v>
      </c>
      <c r="K147" s="1">
        <v>77.0</v>
      </c>
      <c r="L147" s="1">
        <v>369.0</v>
      </c>
      <c r="M147" s="1">
        <v>73.8</v>
      </c>
      <c r="N147" s="1">
        <v>95.0</v>
      </c>
      <c r="O147" s="1" t="s">
        <v>21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296</v>
      </c>
      <c r="B148" s="1" t="s">
        <v>297</v>
      </c>
      <c r="C148" s="1" t="s">
        <v>17</v>
      </c>
      <c r="D148" s="1" t="s">
        <v>18</v>
      </c>
      <c r="E148" s="1" t="s">
        <v>47</v>
      </c>
      <c r="F148" s="1" t="s">
        <v>62</v>
      </c>
      <c r="G148" s="1">
        <v>62.0</v>
      </c>
      <c r="H148" s="1">
        <v>64.0</v>
      </c>
      <c r="I148" s="1">
        <v>83.0</v>
      </c>
      <c r="J148" s="1">
        <v>75.0</v>
      </c>
      <c r="K148" s="1">
        <v>57.0</v>
      </c>
      <c r="L148" s="1">
        <v>341.0</v>
      </c>
      <c r="M148" s="1">
        <v>68.2</v>
      </c>
      <c r="N148" s="1">
        <v>97.0</v>
      </c>
      <c r="O148" s="1" t="s">
        <v>21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298</v>
      </c>
      <c r="B149" s="1" t="s">
        <v>299</v>
      </c>
      <c r="C149" s="1" t="s">
        <v>24</v>
      </c>
      <c r="D149" s="1" t="s">
        <v>30</v>
      </c>
      <c r="E149" s="1" t="s">
        <v>47</v>
      </c>
      <c r="F149" s="1" t="s">
        <v>55</v>
      </c>
      <c r="G149" s="1">
        <v>98.0</v>
      </c>
      <c r="H149" s="1">
        <v>68.0</v>
      </c>
      <c r="I149" s="1">
        <v>53.0</v>
      </c>
      <c r="J149" s="1">
        <v>95.0</v>
      </c>
      <c r="K149" s="1">
        <v>68.0</v>
      </c>
      <c r="L149" s="1">
        <v>382.0</v>
      </c>
      <c r="M149" s="1">
        <v>76.4</v>
      </c>
      <c r="N149" s="1">
        <v>81.0</v>
      </c>
      <c r="O149" s="1" t="s">
        <v>21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300</v>
      </c>
      <c r="B150" s="1" t="s">
        <v>301</v>
      </c>
      <c r="C150" s="1" t="s">
        <v>17</v>
      </c>
      <c r="D150" s="1" t="s">
        <v>25</v>
      </c>
      <c r="E150" s="1" t="s">
        <v>19</v>
      </c>
      <c r="F150" s="1" t="s">
        <v>62</v>
      </c>
      <c r="G150" s="1">
        <v>88.0</v>
      </c>
      <c r="H150" s="1">
        <v>85.0</v>
      </c>
      <c r="I150" s="1">
        <v>72.0</v>
      </c>
      <c r="J150" s="1">
        <v>72.0</v>
      </c>
      <c r="K150" s="1">
        <v>78.0</v>
      </c>
      <c r="L150" s="1">
        <v>395.0</v>
      </c>
      <c r="M150" s="1">
        <v>79.0</v>
      </c>
      <c r="N150" s="1">
        <v>97.0</v>
      </c>
      <c r="O150" s="1" t="s">
        <v>21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302</v>
      </c>
      <c r="B151" s="1" t="s">
        <v>208</v>
      </c>
      <c r="C151" s="1" t="s">
        <v>17</v>
      </c>
      <c r="D151" s="1" t="s">
        <v>40</v>
      </c>
      <c r="E151" s="1" t="s">
        <v>19</v>
      </c>
      <c r="F151" s="1" t="s">
        <v>37</v>
      </c>
      <c r="G151" s="1">
        <v>77.0</v>
      </c>
      <c r="H151" s="1">
        <v>83.0</v>
      </c>
      <c r="I151" s="1">
        <v>52.0</v>
      </c>
      <c r="J151" s="1">
        <v>98.0</v>
      </c>
      <c r="K151" s="1">
        <v>40.0</v>
      </c>
      <c r="L151" s="1">
        <v>350.0</v>
      </c>
      <c r="M151" s="1">
        <v>70.0</v>
      </c>
      <c r="N151" s="1">
        <v>73.0</v>
      </c>
      <c r="O151" s="1" t="s">
        <v>21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303</v>
      </c>
      <c r="B152" s="1" t="s">
        <v>304</v>
      </c>
      <c r="C152" s="1" t="s">
        <v>24</v>
      </c>
      <c r="D152" s="1" t="s">
        <v>25</v>
      </c>
      <c r="E152" s="1" t="s">
        <v>47</v>
      </c>
      <c r="F152" s="1" t="s">
        <v>27</v>
      </c>
      <c r="G152" s="1">
        <v>96.0</v>
      </c>
      <c r="H152" s="1">
        <v>65.0</v>
      </c>
      <c r="I152" s="1">
        <v>76.0</v>
      </c>
      <c r="J152" s="1">
        <v>48.0</v>
      </c>
      <c r="K152" s="1">
        <v>57.0</v>
      </c>
      <c r="L152" s="1">
        <v>342.0</v>
      </c>
      <c r="M152" s="1">
        <v>68.4</v>
      </c>
      <c r="N152" s="1">
        <v>85.0</v>
      </c>
      <c r="O152" s="1" t="s">
        <v>21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305</v>
      </c>
      <c r="B153" s="1" t="s">
        <v>306</v>
      </c>
      <c r="C153" s="1" t="s">
        <v>17</v>
      </c>
      <c r="D153" s="1" t="s">
        <v>25</v>
      </c>
      <c r="E153" s="1" t="s">
        <v>19</v>
      </c>
      <c r="F153" s="1" t="s">
        <v>27</v>
      </c>
      <c r="G153" s="1">
        <v>70.0</v>
      </c>
      <c r="H153" s="1">
        <v>49.0</v>
      </c>
      <c r="I153" s="1">
        <v>75.0</v>
      </c>
      <c r="J153" s="1">
        <v>46.0</v>
      </c>
      <c r="K153" s="1">
        <v>93.0</v>
      </c>
      <c r="L153" s="1">
        <v>333.0</v>
      </c>
      <c r="M153" s="1">
        <v>66.6</v>
      </c>
      <c r="N153" s="1">
        <v>77.0</v>
      </c>
      <c r="O153" s="1" t="s">
        <v>21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307</v>
      </c>
      <c r="B154" s="1" t="s">
        <v>85</v>
      </c>
      <c r="C154" s="1" t="s">
        <v>17</v>
      </c>
      <c r="D154" s="1" t="s">
        <v>30</v>
      </c>
      <c r="E154" s="1" t="s">
        <v>19</v>
      </c>
      <c r="F154" s="1" t="s">
        <v>27</v>
      </c>
      <c r="G154" s="1">
        <v>92.0</v>
      </c>
      <c r="H154" s="1">
        <v>81.0</v>
      </c>
      <c r="I154" s="1">
        <v>54.0</v>
      </c>
      <c r="J154" s="1">
        <v>46.0</v>
      </c>
      <c r="K154" s="1">
        <v>62.0</v>
      </c>
      <c r="L154" s="1">
        <v>335.0</v>
      </c>
      <c r="M154" s="1">
        <v>67.0</v>
      </c>
      <c r="N154" s="1">
        <v>72.0</v>
      </c>
      <c r="O154" s="1" t="s">
        <v>21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308</v>
      </c>
      <c r="B155" s="1" t="s">
        <v>309</v>
      </c>
      <c r="C155" s="1" t="s">
        <v>24</v>
      </c>
      <c r="D155" s="1" t="s">
        <v>54</v>
      </c>
      <c r="E155" s="1" t="s">
        <v>26</v>
      </c>
      <c r="F155" s="1" t="s">
        <v>37</v>
      </c>
      <c r="G155" s="1">
        <v>91.0</v>
      </c>
      <c r="H155" s="1">
        <v>68.0</v>
      </c>
      <c r="I155" s="1">
        <v>87.0</v>
      </c>
      <c r="J155" s="1">
        <v>90.0</v>
      </c>
      <c r="K155" s="1">
        <v>65.0</v>
      </c>
      <c r="L155" s="1">
        <v>401.0</v>
      </c>
      <c r="M155" s="1">
        <v>80.2</v>
      </c>
      <c r="N155" s="1">
        <v>94.0</v>
      </c>
      <c r="O155" s="1" t="s">
        <v>21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310</v>
      </c>
      <c r="B156" s="1" t="s">
        <v>311</v>
      </c>
      <c r="C156" s="1" t="s">
        <v>17</v>
      </c>
      <c r="D156" s="1" t="s">
        <v>18</v>
      </c>
      <c r="E156" s="1" t="s">
        <v>26</v>
      </c>
      <c r="F156" s="1" t="s">
        <v>41</v>
      </c>
      <c r="G156" s="1">
        <v>76.0</v>
      </c>
      <c r="H156" s="1">
        <v>57.0</v>
      </c>
      <c r="I156" s="1">
        <v>85.0</v>
      </c>
      <c r="J156" s="1">
        <v>46.0</v>
      </c>
      <c r="K156" s="1">
        <v>84.0</v>
      </c>
      <c r="L156" s="1">
        <v>348.0</v>
      </c>
      <c r="M156" s="1">
        <v>69.6</v>
      </c>
      <c r="N156" s="1">
        <v>60.0</v>
      </c>
      <c r="O156" s="1" t="s">
        <v>21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312</v>
      </c>
      <c r="B157" s="1" t="s">
        <v>313</v>
      </c>
      <c r="C157" s="1" t="s">
        <v>24</v>
      </c>
      <c r="D157" s="1" t="s">
        <v>40</v>
      </c>
      <c r="E157" s="1" t="s">
        <v>19</v>
      </c>
      <c r="F157" s="1" t="s">
        <v>37</v>
      </c>
      <c r="G157" s="1">
        <v>49.0</v>
      </c>
      <c r="H157" s="1">
        <v>78.0</v>
      </c>
      <c r="I157" s="1">
        <v>49.0</v>
      </c>
      <c r="J157" s="1">
        <v>75.0</v>
      </c>
      <c r="K157" s="1">
        <v>40.0</v>
      </c>
      <c r="L157" s="1">
        <v>291.0</v>
      </c>
      <c r="M157" s="1">
        <v>58.2</v>
      </c>
      <c r="N157" s="1">
        <v>98.0</v>
      </c>
      <c r="O157" s="1" t="s">
        <v>21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314</v>
      </c>
      <c r="B158" s="1" t="s">
        <v>315</v>
      </c>
      <c r="C158" s="1" t="s">
        <v>17</v>
      </c>
      <c r="D158" s="1" t="s">
        <v>30</v>
      </c>
      <c r="E158" s="1" t="s">
        <v>47</v>
      </c>
      <c r="F158" s="1" t="s">
        <v>20</v>
      </c>
      <c r="G158" s="1">
        <v>50.0</v>
      </c>
      <c r="H158" s="1">
        <v>64.0</v>
      </c>
      <c r="I158" s="1">
        <v>59.0</v>
      </c>
      <c r="J158" s="1">
        <v>86.0</v>
      </c>
      <c r="K158" s="1">
        <v>52.0</v>
      </c>
      <c r="L158" s="1">
        <v>311.0</v>
      </c>
      <c r="M158" s="1">
        <v>62.2</v>
      </c>
      <c r="N158" s="1">
        <v>69.0</v>
      </c>
      <c r="O158" s="1" t="s">
        <v>21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316</v>
      </c>
      <c r="B159" s="1" t="s">
        <v>225</v>
      </c>
      <c r="C159" s="1" t="s">
        <v>24</v>
      </c>
      <c r="D159" s="1" t="s">
        <v>40</v>
      </c>
      <c r="E159" s="1" t="s">
        <v>19</v>
      </c>
      <c r="F159" s="1" t="s">
        <v>20</v>
      </c>
      <c r="G159" s="1">
        <v>49.0</v>
      </c>
      <c r="H159" s="1">
        <v>81.0</v>
      </c>
      <c r="I159" s="1">
        <v>70.0</v>
      </c>
      <c r="J159" s="1">
        <v>69.0</v>
      </c>
      <c r="K159" s="1">
        <v>85.0</v>
      </c>
      <c r="L159" s="1">
        <v>354.0</v>
      </c>
      <c r="M159" s="1">
        <v>70.8</v>
      </c>
      <c r="N159" s="1">
        <v>85.0</v>
      </c>
      <c r="O159" s="1" t="s">
        <v>21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317</v>
      </c>
      <c r="B160" s="1" t="s">
        <v>318</v>
      </c>
      <c r="C160" s="1" t="s">
        <v>17</v>
      </c>
      <c r="D160" s="1" t="s">
        <v>30</v>
      </c>
      <c r="E160" s="1" t="s">
        <v>47</v>
      </c>
      <c r="F160" s="1" t="s">
        <v>27</v>
      </c>
      <c r="G160" s="1">
        <v>95.0</v>
      </c>
      <c r="H160" s="1">
        <v>41.0</v>
      </c>
      <c r="I160" s="1">
        <v>49.0</v>
      </c>
      <c r="J160" s="1">
        <v>48.0</v>
      </c>
      <c r="K160" s="1">
        <v>51.0</v>
      </c>
      <c r="L160" s="1">
        <v>284.0</v>
      </c>
      <c r="M160" s="1">
        <v>56.8</v>
      </c>
      <c r="N160" s="1">
        <v>85.0</v>
      </c>
      <c r="O160" s="1" t="s">
        <v>21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319</v>
      </c>
      <c r="B161" s="1" t="s">
        <v>320</v>
      </c>
      <c r="C161" s="1" t="s">
        <v>17</v>
      </c>
      <c r="D161" s="1" t="s">
        <v>54</v>
      </c>
      <c r="E161" s="1" t="s">
        <v>19</v>
      </c>
      <c r="F161" s="1" t="s">
        <v>77</v>
      </c>
      <c r="G161" s="1">
        <v>63.0</v>
      </c>
      <c r="H161" s="1">
        <v>40.0</v>
      </c>
      <c r="I161" s="1">
        <v>98.0</v>
      </c>
      <c r="J161" s="1">
        <v>42.0</v>
      </c>
      <c r="K161" s="1">
        <v>92.0</v>
      </c>
      <c r="L161" s="1">
        <v>335.0</v>
      </c>
      <c r="M161" s="1">
        <v>67.0</v>
      </c>
      <c r="N161" s="1">
        <v>89.0</v>
      </c>
      <c r="O161" s="1" t="s">
        <v>21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321</v>
      </c>
      <c r="B162" s="1" t="s">
        <v>281</v>
      </c>
      <c r="C162" s="1" t="s">
        <v>17</v>
      </c>
      <c r="D162" s="1" t="s">
        <v>25</v>
      </c>
      <c r="E162" s="1" t="s">
        <v>19</v>
      </c>
      <c r="F162" s="1" t="s">
        <v>37</v>
      </c>
      <c r="G162" s="1">
        <v>52.0</v>
      </c>
      <c r="H162" s="1">
        <v>66.0</v>
      </c>
      <c r="I162" s="1">
        <v>75.0</v>
      </c>
      <c r="J162" s="1">
        <v>82.0</v>
      </c>
      <c r="K162" s="1">
        <v>66.0</v>
      </c>
      <c r="L162" s="1">
        <v>341.0</v>
      </c>
      <c r="M162" s="1">
        <v>68.2</v>
      </c>
      <c r="N162" s="1">
        <v>93.0</v>
      </c>
      <c r="O162" s="1" t="s">
        <v>21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322</v>
      </c>
      <c r="B163" s="1" t="s">
        <v>137</v>
      </c>
      <c r="C163" s="1" t="s">
        <v>24</v>
      </c>
      <c r="D163" s="1" t="s">
        <v>18</v>
      </c>
      <c r="E163" s="1" t="s">
        <v>26</v>
      </c>
      <c r="F163" s="1" t="s">
        <v>62</v>
      </c>
      <c r="G163" s="1">
        <v>54.0</v>
      </c>
      <c r="H163" s="1">
        <v>52.0</v>
      </c>
      <c r="I163" s="1">
        <v>70.0</v>
      </c>
      <c r="J163" s="1">
        <v>72.0</v>
      </c>
      <c r="K163" s="1">
        <v>92.0</v>
      </c>
      <c r="L163" s="1">
        <v>340.0</v>
      </c>
      <c r="M163" s="1">
        <v>68.0</v>
      </c>
      <c r="N163" s="1">
        <v>73.0</v>
      </c>
      <c r="O163" s="1" t="s">
        <v>21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323</v>
      </c>
      <c r="B164" s="1" t="s">
        <v>324</v>
      </c>
      <c r="C164" s="1" t="s">
        <v>24</v>
      </c>
      <c r="D164" s="1" t="s">
        <v>30</v>
      </c>
      <c r="E164" s="1" t="s">
        <v>47</v>
      </c>
      <c r="F164" s="1" t="s">
        <v>77</v>
      </c>
      <c r="G164" s="1">
        <v>77.0</v>
      </c>
      <c r="H164" s="1">
        <v>70.0</v>
      </c>
      <c r="I164" s="1">
        <v>51.0</v>
      </c>
      <c r="J164" s="1">
        <v>90.0</v>
      </c>
      <c r="K164" s="1">
        <v>61.0</v>
      </c>
      <c r="L164" s="1">
        <v>349.0</v>
      </c>
      <c r="M164" s="1">
        <v>69.8</v>
      </c>
      <c r="N164" s="1">
        <v>63.0</v>
      </c>
      <c r="O164" s="1" t="s">
        <v>21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325</v>
      </c>
      <c r="B165" s="1" t="s">
        <v>326</v>
      </c>
      <c r="C165" s="1" t="s">
        <v>24</v>
      </c>
      <c r="D165" s="1" t="s">
        <v>40</v>
      </c>
      <c r="E165" s="1" t="s">
        <v>26</v>
      </c>
      <c r="F165" s="1" t="s">
        <v>20</v>
      </c>
      <c r="G165" s="1">
        <v>78.0</v>
      </c>
      <c r="H165" s="1">
        <v>87.0</v>
      </c>
      <c r="I165" s="1">
        <v>95.0</v>
      </c>
      <c r="J165" s="1">
        <v>70.0</v>
      </c>
      <c r="K165" s="1">
        <v>93.0</v>
      </c>
      <c r="L165" s="1">
        <v>423.0</v>
      </c>
      <c r="M165" s="1">
        <v>84.6</v>
      </c>
      <c r="N165" s="1">
        <v>98.0</v>
      </c>
      <c r="O165" s="1" t="s">
        <v>21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327</v>
      </c>
      <c r="B166" s="1" t="s">
        <v>328</v>
      </c>
      <c r="C166" s="1" t="s">
        <v>24</v>
      </c>
      <c r="D166" s="1" t="s">
        <v>30</v>
      </c>
      <c r="E166" s="1" t="s">
        <v>26</v>
      </c>
      <c r="F166" s="1" t="s">
        <v>20</v>
      </c>
      <c r="G166" s="1">
        <v>42.0</v>
      </c>
      <c r="H166" s="1">
        <v>45.0</v>
      </c>
      <c r="I166" s="1">
        <v>54.0</v>
      </c>
      <c r="J166" s="1">
        <v>67.0</v>
      </c>
      <c r="K166" s="1">
        <v>56.0</v>
      </c>
      <c r="L166" s="1">
        <v>264.0</v>
      </c>
      <c r="M166" s="1">
        <v>52.8</v>
      </c>
      <c r="N166" s="1">
        <v>78.0</v>
      </c>
      <c r="O166" s="1" t="s">
        <v>21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329</v>
      </c>
      <c r="B167" s="1" t="s">
        <v>330</v>
      </c>
      <c r="C167" s="1" t="s">
        <v>24</v>
      </c>
      <c r="D167" s="1" t="s">
        <v>18</v>
      </c>
      <c r="E167" s="1" t="s">
        <v>47</v>
      </c>
      <c r="F167" s="1" t="s">
        <v>62</v>
      </c>
      <c r="G167" s="1">
        <v>41.0</v>
      </c>
      <c r="H167" s="1">
        <v>91.0</v>
      </c>
      <c r="I167" s="1">
        <v>89.0</v>
      </c>
      <c r="J167" s="1">
        <v>80.0</v>
      </c>
      <c r="K167" s="1">
        <v>57.0</v>
      </c>
      <c r="L167" s="1">
        <v>358.0</v>
      </c>
      <c r="M167" s="1">
        <v>71.6</v>
      </c>
      <c r="N167" s="1">
        <v>64.0</v>
      </c>
      <c r="O167" s="1" t="s">
        <v>21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331</v>
      </c>
      <c r="B168" s="1" t="s">
        <v>109</v>
      </c>
      <c r="C168" s="1" t="s">
        <v>24</v>
      </c>
      <c r="D168" s="1" t="s">
        <v>40</v>
      </c>
      <c r="E168" s="1" t="s">
        <v>47</v>
      </c>
      <c r="F168" s="1" t="s">
        <v>77</v>
      </c>
      <c r="G168" s="1">
        <v>47.0</v>
      </c>
      <c r="H168" s="1">
        <v>61.0</v>
      </c>
      <c r="I168" s="1">
        <v>44.0</v>
      </c>
      <c r="J168" s="1">
        <v>93.0</v>
      </c>
      <c r="K168" s="1">
        <v>41.0</v>
      </c>
      <c r="L168" s="1">
        <v>286.0</v>
      </c>
      <c r="M168" s="1">
        <v>57.2</v>
      </c>
      <c r="N168" s="1">
        <v>63.0</v>
      </c>
      <c r="O168" s="1" t="s">
        <v>21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332</v>
      </c>
      <c r="B169" s="1" t="s">
        <v>333</v>
      </c>
      <c r="C169" s="1" t="s">
        <v>17</v>
      </c>
      <c r="D169" s="1" t="s">
        <v>18</v>
      </c>
      <c r="E169" s="1" t="s">
        <v>47</v>
      </c>
      <c r="F169" s="1" t="s">
        <v>27</v>
      </c>
      <c r="G169" s="1">
        <v>83.0</v>
      </c>
      <c r="H169" s="1">
        <v>51.0</v>
      </c>
      <c r="I169" s="1">
        <v>71.0</v>
      </c>
      <c r="J169" s="1">
        <v>61.0</v>
      </c>
      <c r="K169" s="1">
        <v>68.0</v>
      </c>
      <c r="L169" s="1">
        <v>334.0</v>
      </c>
      <c r="M169" s="1">
        <v>66.8</v>
      </c>
      <c r="N169" s="1">
        <v>92.0</v>
      </c>
      <c r="O169" s="1" t="s">
        <v>21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334</v>
      </c>
      <c r="B170" s="1" t="s">
        <v>335</v>
      </c>
      <c r="C170" s="1" t="s">
        <v>24</v>
      </c>
      <c r="D170" s="1" t="s">
        <v>54</v>
      </c>
      <c r="E170" s="1" t="s">
        <v>47</v>
      </c>
      <c r="F170" s="1" t="s">
        <v>37</v>
      </c>
      <c r="G170" s="1">
        <v>63.0</v>
      </c>
      <c r="H170" s="1">
        <v>90.0</v>
      </c>
      <c r="I170" s="1">
        <v>52.0</v>
      </c>
      <c r="J170" s="1">
        <v>86.0</v>
      </c>
      <c r="K170" s="1">
        <v>91.0</v>
      </c>
      <c r="L170" s="1">
        <v>382.0</v>
      </c>
      <c r="M170" s="1">
        <v>76.4</v>
      </c>
      <c r="N170" s="1">
        <v>90.0</v>
      </c>
      <c r="O170" s="1" t="s">
        <v>21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336</v>
      </c>
      <c r="B171" s="1" t="s">
        <v>156</v>
      </c>
      <c r="C171" s="1" t="s">
        <v>24</v>
      </c>
      <c r="D171" s="1" t="s">
        <v>18</v>
      </c>
      <c r="E171" s="1" t="s">
        <v>47</v>
      </c>
      <c r="F171" s="1" t="s">
        <v>41</v>
      </c>
      <c r="G171" s="1">
        <v>86.0</v>
      </c>
      <c r="H171" s="1">
        <v>78.0</v>
      </c>
      <c r="I171" s="1">
        <v>48.0</v>
      </c>
      <c r="J171" s="1">
        <v>53.0</v>
      </c>
      <c r="K171" s="1">
        <v>80.0</v>
      </c>
      <c r="L171" s="1">
        <v>345.0</v>
      </c>
      <c r="M171" s="1">
        <v>69.0</v>
      </c>
      <c r="N171" s="1">
        <v>92.0</v>
      </c>
      <c r="O171" s="1" t="s">
        <v>21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337</v>
      </c>
      <c r="B172" s="1" t="s">
        <v>338</v>
      </c>
      <c r="C172" s="1" t="s">
        <v>17</v>
      </c>
      <c r="D172" s="1" t="s">
        <v>18</v>
      </c>
      <c r="E172" s="1" t="s">
        <v>47</v>
      </c>
      <c r="F172" s="1" t="s">
        <v>62</v>
      </c>
      <c r="G172" s="1">
        <v>56.0</v>
      </c>
      <c r="H172" s="1">
        <v>86.0</v>
      </c>
      <c r="I172" s="1">
        <v>51.0</v>
      </c>
      <c r="J172" s="1">
        <v>64.0</v>
      </c>
      <c r="K172" s="1">
        <v>92.0</v>
      </c>
      <c r="L172" s="1">
        <v>349.0</v>
      </c>
      <c r="M172" s="1">
        <v>69.8</v>
      </c>
      <c r="N172" s="1">
        <v>82.0</v>
      </c>
      <c r="O172" s="1" t="s">
        <v>21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339</v>
      </c>
      <c r="B173" s="1" t="s">
        <v>340</v>
      </c>
      <c r="C173" s="1" t="s">
        <v>17</v>
      </c>
      <c r="D173" s="1" t="s">
        <v>30</v>
      </c>
      <c r="E173" s="1" t="s">
        <v>26</v>
      </c>
      <c r="F173" s="1" t="s">
        <v>44</v>
      </c>
      <c r="G173" s="1">
        <v>90.0</v>
      </c>
      <c r="H173" s="1">
        <v>87.0</v>
      </c>
      <c r="I173" s="1">
        <v>61.0</v>
      </c>
      <c r="J173" s="1">
        <v>44.0</v>
      </c>
      <c r="K173" s="1">
        <v>83.0</v>
      </c>
      <c r="L173" s="1">
        <v>365.0</v>
      </c>
      <c r="M173" s="1">
        <v>73.0</v>
      </c>
      <c r="N173" s="1">
        <v>77.0</v>
      </c>
      <c r="O173" s="1" t="s">
        <v>21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341</v>
      </c>
      <c r="B174" s="1" t="s">
        <v>185</v>
      </c>
      <c r="C174" s="1" t="s">
        <v>24</v>
      </c>
      <c r="D174" s="1" t="s">
        <v>18</v>
      </c>
      <c r="E174" s="1" t="s">
        <v>19</v>
      </c>
      <c r="F174" s="1" t="s">
        <v>20</v>
      </c>
      <c r="G174" s="1">
        <v>67.0</v>
      </c>
      <c r="H174" s="1">
        <v>51.0</v>
      </c>
      <c r="I174" s="1">
        <v>77.0</v>
      </c>
      <c r="J174" s="1">
        <v>75.0</v>
      </c>
      <c r="K174" s="1">
        <v>51.0</v>
      </c>
      <c r="L174" s="1">
        <v>321.0</v>
      </c>
      <c r="M174" s="1">
        <v>64.2</v>
      </c>
      <c r="N174" s="1">
        <v>61.0</v>
      </c>
      <c r="O174" s="1" t="s">
        <v>21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342</v>
      </c>
      <c r="B175" s="1" t="s">
        <v>281</v>
      </c>
      <c r="C175" s="1" t="s">
        <v>17</v>
      </c>
      <c r="D175" s="1" t="s">
        <v>30</v>
      </c>
      <c r="E175" s="1" t="s">
        <v>47</v>
      </c>
      <c r="F175" s="1" t="s">
        <v>37</v>
      </c>
      <c r="G175" s="1">
        <v>88.0</v>
      </c>
      <c r="H175" s="1">
        <v>43.0</v>
      </c>
      <c r="I175" s="1">
        <v>51.0</v>
      </c>
      <c r="J175" s="1">
        <v>61.0</v>
      </c>
      <c r="K175" s="1">
        <v>100.0</v>
      </c>
      <c r="L175" s="1">
        <v>343.0</v>
      </c>
      <c r="M175" s="1">
        <v>68.6</v>
      </c>
      <c r="N175" s="1">
        <v>92.0</v>
      </c>
      <c r="O175" s="1" t="s">
        <v>21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343</v>
      </c>
      <c r="B176" s="1" t="s">
        <v>344</v>
      </c>
      <c r="C176" s="1" t="s">
        <v>17</v>
      </c>
      <c r="D176" s="1" t="s">
        <v>18</v>
      </c>
      <c r="E176" s="1" t="s">
        <v>26</v>
      </c>
      <c r="F176" s="1" t="s">
        <v>41</v>
      </c>
      <c r="G176" s="1">
        <v>88.0</v>
      </c>
      <c r="H176" s="1">
        <v>77.0</v>
      </c>
      <c r="I176" s="1">
        <v>88.0</v>
      </c>
      <c r="J176" s="1">
        <v>46.0</v>
      </c>
      <c r="K176" s="1">
        <v>53.0</v>
      </c>
      <c r="L176" s="1">
        <v>352.0</v>
      </c>
      <c r="M176" s="1">
        <v>70.4</v>
      </c>
      <c r="N176" s="1">
        <v>68.0</v>
      </c>
      <c r="O176" s="1" t="s">
        <v>21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345</v>
      </c>
      <c r="B177" s="1" t="s">
        <v>133</v>
      </c>
      <c r="C177" s="1" t="s">
        <v>24</v>
      </c>
      <c r="D177" s="1" t="s">
        <v>54</v>
      </c>
      <c r="E177" s="1" t="s">
        <v>26</v>
      </c>
      <c r="F177" s="1" t="s">
        <v>55</v>
      </c>
      <c r="G177" s="1">
        <v>93.0</v>
      </c>
      <c r="H177" s="1">
        <v>45.0</v>
      </c>
      <c r="I177" s="1">
        <v>87.0</v>
      </c>
      <c r="J177" s="1">
        <v>59.0</v>
      </c>
      <c r="K177" s="1">
        <v>69.0</v>
      </c>
      <c r="L177" s="1">
        <v>353.0</v>
      </c>
      <c r="M177" s="1">
        <v>70.6</v>
      </c>
      <c r="N177" s="1">
        <v>99.0</v>
      </c>
      <c r="O177" s="1" t="s">
        <v>21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346</v>
      </c>
      <c r="B178" s="1" t="s">
        <v>347</v>
      </c>
      <c r="C178" s="1" t="s">
        <v>17</v>
      </c>
      <c r="D178" s="1" t="s">
        <v>54</v>
      </c>
      <c r="E178" s="1" t="s">
        <v>26</v>
      </c>
      <c r="F178" s="1" t="s">
        <v>77</v>
      </c>
      <c r="G178" s="1">
        <v>59.0</v>
      </c>
      <c r="H178" s="1">
        <v>91.0</v>
      </c>
      <c r="I178" s="1">
        <v>63.0</v>
      </c>
      <c r="J178" s="1">
        <v>76.0</v>
      </c>
      <c r="K178" s="1">
        <v>100.0</v>
      </c>
      <c r="L178" s="1">
        <v>389.0</v>
      </c>
      <c r="M178" s="2">
        <v>97.8</v>
      </c>
      <c r="N178" s="1">
        <v>65.0</v>
      </c>
      <c r="O178" s="1" t="s">
        <v>21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348</v>
      </c>
      <c r="B179" s="1" t="s">
        <v>349</v>
      </c>
      <c r="C179" s="1" t="s">
        <v>24</v>
      </c>
      <c r="D179" s="1" t="s">
        <v>40</v>
      </c>
      <c r="E179" s="1" t="s">
        <v>47</v>
      </c>
      <c r="F179" s="1" t="s">
        <v>20</v>
      </c>
      <c r="G179" s="1">
        <v>88.0</v>
      </c>
      <c r="H179" s="1">
        <v>97.0</v>
      </c>
      <c r="I179" s="1">
        <v>56.0</v>
      </c>
      <c r="J179" s="1">
        <v>53.0</v>
      </c>
      <c r="K179" s="1">
        <v>72.0</v>
      </c>
      <c r="L179" s="1">
        <v>366.0</v>
      </c>
      <c r="M179" s="1">
        <v>73.2</v>
      </c>
      <c r="N179" s="1">
        <v>77.0</v>
      </c>
      <c r="O179" s="1" t="s">
        <v>21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350</v>
      </c>
      <c r="B180" s="1" t="s">
        <v>351</v>
      </c>
      <c r="C180" s="1" t="s">
        <v>17</v>
      </c>
      <c r="D180" s="1" t="s">
        <v>25</v>
      </c>
      <c r="E180" s="1" t="s">
        <v>19</v>
      </c>
      <c r="F180" s="1" t="s">
        <v>41</v>
      </c>
      <c r="G180" s="1">
        <v>86.0</v>
      </c>
      <c r="H180" s="1">
        <v>64.0</v>
      </c>
      <c r="I180" s="1">
        <v>82.0</v>
      </c>
      <c r="J180" s="1">
        <v>45.0</v>
      </c>
      <c r="K180" s="1">
        <v>57.0</v>
      </c>
      <c r="L180" s="1">
        <v>334.0</v>
      </c>
      <c r="M180" s="1">
        <v>66.8</v>
      </c>
      <c r="N180" s="1">
        <v>65.0</v>
      </c>
      <c r="O180" s="1" t="s">
        <v>21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352</v>
      </c>
      <c r="B181" s="1" t="s">
        <v>268</v>
      </c>
      <c r="C181" s="1" t="s">
        <v>24</v>
      </c>
      <c r="D181" s="1" t="s">
        <v>25</v>
      </c>
      <c r="E181" s="1" t="s">
        <v>47</v>
      </c>
      <c r="F181" s="1" t="s">
        <v>41</v>
      </c>
      <c r="G181" s="1">
        <v>78.0</v>
      </c>
      <c r="H181" s="1">
        <v>75.0</v>
      </c>
      <c r="I181" s="1">
        <v>41.0</v>
      </c>
      <c r="J181" s="1">
        <v>66.0</v>
      </c>
      <c r="K181" s="1">
        <v>54.0</v>
      </c>
      <c r="L181" s="1">
        <v>314.0</v>
      </c>
      <c r="M181" s="1">
        <v>62.8</v>
      </c>
      <c r="N181" s="1">
        <v>94.0</v>
      </c>
      <c r="O181" s="1" t="s">
        <v>21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353</v>
      </c>
      <c r="B182" s="1" t="s">
        <v>252</v>
      </c>
      <c r="C182" s="1" t="s">
        <v>17</v>
      </c>
      <c r="D182" s="1" t="s">
        <v>40</v>
      </c>
      <c r="E182" s="1" t="s">
        <v>47</v>
      </c>
      <c r="F182" s="1" t="s">
        <v>77</v>
      </c>
      <c r="G182" s="1">
        <v>93.0</v>
      </c>
      <c r="H182" s="1">
        <v>89.0</v>
      </c>
      <c r="I182" s="1">
        <v>86.0</v>
      </c>
      <c r="J182" s="1">
        <v>46.0</v>
      </c>
      <c r="K182" s="1">
        <v>65.0</v>
      </c>
      <c r="L182" s="1">
        <v>379.0</v>
      </c>
      <c r="M182" s="1">
        <v>75.8</v>
      </c>
      <c r="N182" s="1">
        <v>82.0</v>
      </c>
      <c r="O182" s="1" t="s">
        <v>21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354</v>
      </c>
      <c r="B183" s="1" t="s">
        <v>355</v>
      </c>
      <c r="C183" s="1" t="s">
        <v>24</v>
      </c>
      <c r="D183" s="1" t="s">
        <v>30</v>
      </c>
      <c r="E183" s="1" t="s">
        <v>26</v>
      </c>
      <c r="F183" s="1" t="s">
        <v>37</v>
      </c>
      <c r="G183" s="1">
        <v>47.0</v>
      </c>
      <c r="H183" s="1">
        <v>86.0</v>
      </c>
      <c r="I183" s="1">
        <v>95.0</v>
      </c>
      <c r="J183" s="1">
        <v>43.0</v>
      </c>
      <c r="K183" s="1">
        <v>51.0</v>
      </c>
      <c r="L183" s="1">
        <v>322.0</v>
      </c>
      <c r="M183" s="1">
        <v>64.4</v>
      </c>
      <c r="N183" s="1">
        <v>97.0</v>
      </c>
      <c r="O183" s="1" t="s">
        <v>21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356</v>
      </c>
      <c r="B184" s="1" t="s">
        <v>49</v>
      </c>
      <c r="C184" s="1" t="s">
        <v>24</v>
      </c>
      <c r="D184" s="1" t="s">
        <v>40</v>
      </c>
      <c r="E184" s="1" t="s">
        <v>19</v>
      </c>
      <c r="F184" s="1" t="s">
        <v>62</v>
      </c>
      <c r="G184" s="1">
        <v>94.0</v>
      </c>
      <c r="H184" s="1">
        <v>42.0</v>
      </c>
      <c r="I184" s="1">
        <v>75.0</v>
      </c>
      <c r="J184" s="1">
        <v>91.0</v>
      </c>
      <c r="K184" s="1">
        <v>68.0</v>
      </c>
      <c r="L184" s="1">
        <v>370.0</v>
      </c>
      <c r="M184" s="1">
        <v>74.0</v>
      </c>
      <c r="N184" s="1">
        <v>77.0</v>
      </c>
      <c r="O184" s="1" t="s">
        <v>21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357</v>
      </c>
      <c r="B185" s="1" t="s">
        <v>358</v>
      </c>
      <c r="C185" s="1" t="s">
        <v>17</v>
      </c>
      <c r="D185" s="1" t="s">
        <v>54</v>
      </c>
      <c r="E185" s="1" t="s">
        <v>19</v>
      </c>
      <c r="F185" s="1" t="s">
        <v>41</v>
      </c>
      <c r="G185" s="1">
        <v>100.0</v>
      </c>
      <c r="H185" s="1">
        <v>63.0</v>
      </c>
      <c r="I185" s="1">
        <v>71.0</v>
      </c>
      <c r="J185" s="1">
        <v>97.0</v>
      </c>
      <c r="K185" s="1">
        <v>69.0</v>
      </c>
      <c r="L185" s="1">
        <v>400.0</v>
      </c>
      <c r="M185" s="1">
        <v>80.0</v>
      </c>
      <c r="N185" s="1">
        <v>82.0</v>
      </c>
      <c r="O185" s="1" t="s">
        <v>21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359</v>
      </c>
      <c r="B186" s="1" t="s">
        <v>360</v>
      </c>
      <c r="C186" s="1" t="s">
        <v>17</v>
      </c>
      <c r="D186" s="1" t="s">
        <v>54</v>
      </c>
      <c r="E186" s="1" t="s">
        <v>19</v>
      </c>
      <c r="F186" s="1" t="s">
        <v>44</v>
      </c>
      <c r="G186" s="1">
        <v>73.0</v>
      </c>
      <c r="H186" s="1">
        <v>53.0</v>
      </c>
      <c r="I186" s="1">
        <v>73.0</v>
      </c>
      <c r="J186" s="1">
        <v>77.0</v>
      </c>
      <c r="K186" s="1">
        <v>83.0</v>
      </c>
      <c r="L186" s="1">
        <v>359.0</v>
      </c>
      <c r="M186" s="1">
        <v>71.8</v>
      </c>
      <c r="N186" s="1">
        <v>67.0</v>
      </c>
      <c r="O186" s="1" t="s">
        <v>21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361</v>
      </c>
      <c r="B187" s="1" t="s">
        <v>362</v>
      </c>
      <c r="C187" s="1" t="s">
        <v>17</v>
      </c>
      <c r="D187" s="1" t="s">
        <v>25</v>
      </c>
      <c r="E187" s="1" t="s">
        <v>19</v>
      </c>
      <c r="F187" s="1" t="s">
        <v>62</v>
      </c>
      <c r="G187" s="1">
        <v>43.0</v>
      </c>
      <c r="H187" s="1">
        <v>83.0</v>
      </c>
      <c r="I187" s="1">
        <v>62.0</v>
      </c>
      <c r="J187" s="1">
        <v>76.0</v>
      </c>
      <c r="K187" s="1">
        <v>65.0</v>
      </c>
      <c r="L187" s="1">
        <v>329.0</v>
      </c>
      <c r="M187" s="1">
        <v>65.8</v>
      </c>
      <c r="N187" s="1">
        <v>72.0</v>
      </c>
      <c r="O187" s="1" t="s">
        <v>21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363</v>
      </c>
      <c r="B188" s="1" t="s">
        <v>364</v>
      </c>
      <c r="C188" s="1" t="s">
        <v>24</v>
      </c>
      <c r="D188" s="1" t="s">
        <v>18</v>
      </c>
      <c r="E188" s="1" t="s">
        <v>26</v>
      </c>
      <c r="F188" s="1" t="s">
        <v>77</v>
      </c>
      <c r="G188" s="1">
        <v>44.0</v>
      </c>
      <c r="H188" s="1">
        <v>78.0</v>
      </c>
      <c r="I188" s="1">
        <v>90.0</v>
      </c>
      <c r="J188" s="1">
        <v>52.0</v>
      </c>
      <c r="K188" s="1">
        <v>90.0</v>
      </c>
      <c r="L188" s="1">
        <v>354.0</v>
      </c>
      <c r="M188" s="1">
        <v>70.8</v>
      </c>
      <c r="N188" s="1">
        <v>65.0</v>
      </c>
      <c r="O188" s="1" t="s">
        <v>21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365</v>
      </c>
      <c r="B189" s="1" t="s">
        <v>147</v>
      </c>
      <c r="C189" s="1" t="s">
        <v>17</v>
      </c>
      <c r="D189" s="1" t="s">
        <v>25</v>
      </c>
      <c r="E189" s="1" t="s">
        <v>26</v>
      </c>
      <c r="F189" s="1" t="s">
        <v>41</v>
      </c>
      <c r="G189" s="1">
        <v>80.0</v>
      </c>
      <c r="H189" s="1">
        <v>70.0</v>
      </c>
      <c r="I189" s="1">
        <v>50.0</v>
      </c>
      <c r="J189" s="1">
        <v>67.0</v>
      </c>
      <c r="K189" s="1">
        <v>91.0</v>
      </c>
      <c r="L189" s="1">
        <v>358.0</v>
      </c>
      <c r="M189" s="1">
        <v>71.6</v>
      </c>
      <c r="N189" s="1">
        <v>71.0</v>
      </c>
      <c r="O189" s="1" t="s">
        <v>21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366</v>
      </c>
      <c r="B190" s="1" t="s">
        <v>367</v>
      </c>
      <c r="C190" s="1" t="s">
        <v>17</v>
      </c>
      <c r="D190" s="1" t="s">
        <v>18</v>
      </c>
      <c r="E190" s="1" t="s">
        <v>19</v>
      </c>
      <c r="F190" s="1" t="s">
        <v>27</v>
      </c>
      <c r="G190" s="1">
        <v>63.0</v>
      </c>
      <c r="H190" s="1">
        <v>94.0</v>
      </c>
      <c r="I190" s="1">
        <v>46.0</v>
      </c>
      <c r="J190" s="1">
        <v>75.0</v>
      </c>
      <c r="K190" s="1">
        <v>86.0</v>
      </c>
      <c r="L190" s="1">
        <v>364.0</v>
      </c>
      <c r="M190" s="1">
        <v>72.8</v>
      </c>
      <c r="N190" s="1">
        <v>65.0</v>
      </c>
      <c r="O190" s="1" t="s">
        <v>21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368</v>
      </c>
      <c r="B191" s="1" t="s">
        <v>369</v>
      </c>
      <c r="C191" s="1" t="s">
        <v>17</v>
      </c>
      <c r="D191" s="1" t="s">
        <v>54</v>
      </c>
      <c r="E191" s="1" t="s">
        <v>19</v>
      </c>
      <c r="F191" s="1" t="s">
        <v>44</v>
      </c>
      <c r="G191" s="1">
        <v>52.0</v>
      </c>
      <c r="H191" s="1">
        <v>83.0</v>
      </c>
      <c r="I191" s="1">
        <v>45.0</v>
      </c>
      <c r="J191" s="1">
        <v>46.0</v>
      </c>
      <c r="K191" s="1">
        <v>63.0</v>
      </c>
      <c r="L191" s="1">
        <v>289.0</v>
      </c>
      <c r="M191" s="1">
        <v>57.8</v>
      </c>
      <c r="N191" s="1">
        <v>68.0</v>
      </c>
      <c r="O191" s="1" t="s">
        <v>21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370</v>
      </c>
      <c r="B192" s="1" t="s">
        <v>23</v>
      </c>
      <c r="C192" s="1" t="s">
        <v>24</v>
      </c>
      <c r="D192" s="1" t="s">
        <v>18</v>
      </c>
      <c r="E192" s="1" t="s">
        <v>19</v>
      </c>
      <c r="F192" s="1" t="s">
        <v>44</v>
      </c>
      <c r="G192" s="1">
        <v>64.0</v>
      </c>
      <c r="H192" s="1">
        <v>82.0</v>
      </c>
      <c r="I192" s="1">
        <v>70.0</v>
      </c>
      <c r="J192" s="1">
        <v>81.0</v>
      </c>
      <c r="K192" s="1">
        <v>86.0</v>
      </c>
      <c r="L192" s="1">
        <v>383.0</v>
      </c>
      <c r="M192" s="1">
        <v>76.6</v>
      </c>
      <c r="N192" s="1">
        <v>78.0</v>
      </c>
      <c r="O192" s="1" t="s">
        <v>21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371</v>
      </c>
      <c r="B193" s="1" t="s">
        <v>372</v>
      </c>
      <c r="C193" s="1" t="s">
        <v>17</v>
      </c>
      <c r="D193" s="1" t="s">
        <v>54</v>
      </c>
      <c r="E193" s="1" t="s">
        <v>26</v>
      </c>
      <c r="F193" s="1" t="s">
        <v>55</v>
      </c>
      <c r="G193" s="1">
        <v>81.0</v>
      </c>
      <c r="H193" s="1">
        <v>82.0</v>
      </c>
      <c r="I193" s="1">
        <v>42.0</v>
      </c>
      <c r="J193" s="1">
        <v>66.0</v>
      </c>
      <c r="K193" s="1">
        <v>86.0</v>
      </c>
      <c r="L193" s="1">
        <v>357.0</v>
      </c>
      <c r="M193" s="1">
        <v>71.4</v>
      </c>
      <c r="N193" s="1">
        <v>91.0</v>
      </c>
      <c r="O193" s="1" t="s">
        <v>21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373</v>
      </c>
      <c r="B194" s="1" t="s">
        <v>374</v>
      </c>
      <c r="C194" s="1" t="s">
        <v>24</v>
      </c>
      <c r="D194" s="1" t="s">
        <v>30</v>
      </c>
      <c r="E194" s="1" t="s">
        <v>26</v>
      </c>
      <c r="F194" s="1" t="s">
        <v>41</v>
      </c>
      <c r="G194" s="1">
        <v>48.0</v>
      </c>
      <c r="H194" s="1">
        <v>65.0</v>
      </c>
      <c r="I194" s="1">
        <v>72.0</v>
      </c>
      <c r="J194" s="1">
        <v>49.0</v>
      </c>
      <c r="K194" s="1">
        <v>62.0</v>
      </c>
      <c r="L194" s="1">
        <v>296.0</v>
      </c>
      <c r="M194" s="1">
        <v>59.2</v>
      </c>
      <c r="N194" s="1">
        <v>66.0</v>
      </c>
      <c r="O194" s="1" t="s">
        <v>21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375</v>
      </c>
      <c r="B195" s="1" t="s">
        <v>376</v>
      </c>
      <c r="C195" s="1" t="s">
        <v>24</v>
      </c>
      <c r="D195" s="1" t="s">
        <v>40</v>
      </c>
      <c r="E195" s="1" t="s">
        <v>19</v>
      </c>
      <c r="F195" s="1" t="s">
        <v>44</v>
      </c>
      <c r="G195" s="1">
        <v>94.0</v>
      </c>
      <c r="H195" s="1">
        <v>67.0</v>
      </c>
      <c r="I195" s="1">
        <v>77.0</v>
      </c>
      <c r="J195" s="1">
        <v>60.0</v>
      </c>
      <c r="K195" s="1">
        <v>85.0</v>
      </c>
      <c r="L195" s="1">
        <v>383.0</v>
      </c>
      <c r="M195" s="1">
        <v>76.6</v>
      </c>
      <c r="N195" s="1">
        <v>98.0</v>
      </c>
      <c r="O195" s="1" t="s">
        <v>21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377</v>
      </c>
      <c r="B196" s="1" t="s">
        <v>378</v>
      </c>
      <c r="C196" s="1" t="s">
        <v>17</v>
      </c>
      <c r="D196" s="1" t="s">
        <v>30</v>
      </c>
      <c r="E196" s="1" t="s">
        <v>26</v>
      </c>
      <c r="F196" s="1" t="s">
        <v>44</v>
      </c>
      <c r="G196" s="1">
        <v>46.0</v>
      </c>
      <c r="H196" s="1">
        <v>84.0</v>
      </c>
      <c r="I196" s="1">
        <v>72.0</v>
      </c>
      <c r="J196" s="1">
        <v>48.0</v>
      </c>
      <c r="K196" s="1">
        <v>70.0</v>
      </c>
      <c r="L196" s="1">
        <v>320.0</v>
      </c>
      <c r="M196" s="1">
        <v>64.0</v>
      </c>
      <c r="N196" s="1">
        <v>68.0</v>
      </c>
      <c r="O196" s="1" t="s">
        <v>21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379</v>
      </c>
      <c r="B197" s="1" t="s">
        <v>380</v>
      </c>
      <c r="C197" s="1" t="s">
        <v>24</v>
      </c>
      <c r="D197" s="1" t="s">
        <v>54</v>
      </c>
      <c r="E197" s="1" t="s">
        <v>47</v>
      </c>
      <c r="F197" s="1" t="s">
        <v>41</v>
      </c>
      <c r="G197" s="1">
        <v>84.0</v>
      </c>
      <c r="H197" s="1">
        <v>54.0</v>
      </c>
      <c r="I197" s="1">
        <v>54.0</v>
      </c>
      <c r="J197" s="1">
        <v>53.0</v>
      </c>
      <c r="K197" s="1">
        <v>46.0</v>
      </c>
      <c r="L197" s="1">
        <v>291.0</v>
      </c>
      <c r="M197" s="1">
        <v>58.2</v>
      </c>
      <c r="N197" s="1">
        <v>64.0</v>
      </c>
      <c r="O197" s="1" t="s">
        <v>21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381</v>
      </c>
      <c r="B198" s="1" t="s">
        <v>133</v>
      </c>
      <c r="C198" s="1" t="s">
        <v>17</v>
      </c>
      <c r="D198" s="1" t="s">
        <v>25</v>
      </c>
      <c r="E198" s="1" t="s">
        <v>47</v>
      </c>
      <c r="F198" s="1" t="s">
        <v>44</v>
      </c>
      <c r="G198" s="1">
        <v>73.0</v>
      </c>
      <c r="H198" s="1">
        <v>98.0</v>
      </c>
      <c r="I198" s="1">
        <v>57.0</v>
      </c>
      <c r="J198" s="1">
        <v>85.0</v>
      </c>
      <c r="K198" s="1">
        <v>79.0</v>
      </c>
      <c r="L198" s="1">
        <v>392.0</v>
      </c>
      <c r="M198" s="1">
        <v>78.4</v>
      </c>
      <c r="N198" s="1">
        <v>77.0</v>
      </c>
      <c r="O198" s="1" t="s">
        <v>21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382</v>
      </c>
      <c r="B199" s="1" t="s">
        <v>383</v>
      </c>
      <c r="C199" s="1" t="s">
        <v>24</v>
      </c>
      <c r="D199" s="1" t="s">
        <v>30</v>
      </c>
      <c r="E199" s="1" t="s">
        <v>19</v>
      </c>
      <c r="F199" s="1" t="s">
        <v>20</v>
      </c>
      <c r="G199" s="1">
        <v>100.0</v>
      </c>
      <c r="H199" s="1">
        <v>42.0</v>
      </c>
      <c r="I199" s="1">
        <v>93.0</v>
      </c>
      <c r="J199" s="1">
        <v>96.0</v>
      </c>
      <c r="K199" s="1">
        <v>40.0</v>
      </c>
      <c r="L199" s="1">
        <v>371.0</v>
      </c>
      <c r="M199" s="1">
        <v>74.2</v>
      </c>
      <c r="N199" s="1">
        <v>82.0</v>
      </c>
      <c r="O199" s="1" t="s">
        <v>21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384</v>
      </c>
      <c r="B200" s="1" t="s">
        <v>385</v>
      </c>
      <c r="C200" s="1" t="s">
        <v>17</v>
      </c>
      <c r="D200" s="1" t="s">
        <v>18</v>
      </c>
      <c r="E200" s="1" t="s">
        <v>19</v>
      </c>
      <c r="F200" s="1" t="s">
        <v>77</v>
      </c>
      <c r="G200" s="1">
        <v>82.0</v>
      </c>
      <c r="H200" s="1">
        <v>89.0</v>
      </c>
      <c r="I200" s="1">
        <v>48.0</v>
      </c>
      <c r="J200" s="1">
        <v>60.0</v>
      </c>
      <c r="K200" s="1">
        <v>59.0</v>
      </c>
      <c r="L200" s="1">
        <v>338.0</v>
      </c>
      <c r="M200" s="1">
        <v>67.6</v>
      </c>
      <c r="N200" s="1">
        <v>60.0</v>
      </c>
      <c r="O200" s="1" t="s">
        <v>21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386</v>
      </c>
      <c r="B201" s="1" t="s">
        <v>208</v>
      </c>
      <c r="C201" s="1" t="s">
        <v>24</v>
      </c>
      <c r="D201" s="1" t="s">
        <v>30</v>
      </c>
      <c r="E201" s="1" t="s">
        <v>19</v>
      </c>
      <c r="F201" s="1" t="s">
        <v>55</v>
      </c>
      <c r="G201" s="1">
        <v>55.0</v>
      </c>
      <c r="H201" s="1">
        <v>44.0</v>
      </c>
      <c r="I201" s="1">
        <v>83.0</v>
      </c>
      <c r="J201" s="1">
        <v>73.0</v>
      </c>
      <c r="K201" s="1">
        <v>71.0</v>
      </c>
      <c r="L201" s="1">
        <v>326.0</v>
      </c>
      <c r="M201" s="1">
        <v>65.2</v>
      </c>
      <c r="N201" s="1">
        <v>79.0</v>
      </c>
      <c r="O201" s="1" t="s">
        <v>21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387</v>
      </c>
      <c r="B202" s="1" t="s">
        <v>388</v>
      </c>
      <c r="C202" s="1" t="s">
        <v>17</v>
      </c>
      <c r="D202" s="1" t="s">
        <v>30</v>
      </c>
      <c r="E202" s="1" t="s">
        <v>26</v>
      </c>
      <c r="F202" s="1" t="s">
        <v>20</v>
      </c>
      <c r="G202" s="1">
        <v>76.0</v>
      </c>
      <c r="H202" s="1">
        <v>86.0</v>
      </c>
      <c r="I202" s="1">
        <v>94.0</v>
      </c>
      <c r="J202" s="1">
        <v>79.0</v>
      </c>
      <c r="K202" s="1">
        <v>64.0</v>
      </c>
      <c r="L202" s="1">
        <v>399.0</v>
      </c>
      <c r="M202" s="1">
        <v>79.8</v>
      </c>
      <c r="N202" s="1">
        <v>66.0</v>
      </c>
      <c r="O202" s="1" t="s">
        <v>21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389</v>
      </c>
      <c r="B203" s="1" t="s">
        <v>390</v>
      </c>
      <c r="C203" s="1" t="s">
        <v>24</v>
      </c>
      <c r="D203" s="1" t="s">
        <v>40</v>
      </c>
      <c r="E203" s="1" t="s">
        <v>26</v>
      </c>
      <c r="F203" s="1" t="s">
        <v>44</v>
      </c>
      <c r="G203" s="1">
        <v>78.0</v>
      </c>
      <c r="H203" s="1">
        <v>93.0</v>
      </c>
      <c r="I203" s="1">
        <v>98.0</v>
      </c>
      <c r="J203" s="1">
        <v>54.0</v>
      </c>
      <c r="K203" s="1">
        <v>87.0</v>
      </c>
      <c r="L203" s="1">
        <v>410.0</v>
      </c>
      <c r="M203" s="1">
        <v>82.0</v>
      </c>
      <c r="N203" s="1">
        <v>85.0</v>
      </c>
      <c r="O203" s="1" t="s">
        <v>21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391</v>
      </c>
      <c r="B204" s="1" t="s">
        <v>252</v>
      </c>
      <c r="C204" s="1" t="s">
        <v>17</v>
      </c>
      <c r="D204" s="1" t="s">
        <v>40</v>
      </c>
      <c r="E204" s="1" t="s">
        <v>47</v>
      </c>
      <c r="F204" s="1" t="s">
        <v>20</v>
      </c>
      <c r="G204" s="1">
        <v>54.0</v>
      </c>
      <c r="H204" s="1">
        <v>51.0</v>
      </c>
      <c r="I204" s="1">
        <v>67.0</v>
      </c>
      <c r="J204" s="1">
        <v>62.0</v>
      </c>
      <c r="K204" s="1">
        <v>83.0</v>
      </c>
      <c r="L204" s="1">
        <v>317.0</v>
      </c>
      <c r="M204" s="1">
        <v>63.4</v>
      </c>
      <c r="N204" s="1">
        <v>98.0</v>
      </c>
      <c r="O204" s="1" t="s">
        <v>21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392</v>
      </c>
      <c r="B205" s="1" t="s">
        <v>385</v>
      </c>
      <c r="C205" s="1" t="s">
        <v>24</v>
      </c>
      <c r="D205" s="1" t="s">
        <v>54</v>
      </c>
      <c r="E205" s="1" t="s">
        <v>47</v>
      </c>
      <c r="F205" s="1" t="s">
        <v>41</v>
      </c>
      <c r="G205" s="1">
        <v>77.0</v>
      </c>
      <c r="H205" s="1">
        <v>96.0</v>
      </c>
      <c r="I205" s="1">
        <v>98.0</v>
      </c>
      <c r="J205" s="1">
        <v>96.0</v>
      </c>
      <c r="K205" s="1">
        <v>58.0</v>
      </c>
      <c r="L205" s="1">
        <v>425.0</v>
      </c>
      <c r="M205" s="1">
        <v>85.0</v>
      </c>
      <c r="N205" s="1">
        <v>66.0</v>
      </c>
      <c r="O205" s="1" t="s">
        <v>21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393</v>
      </c>
      <c r="B206" s="1" t="s">
        <v>105</v>
      </c>
      <c r="C206" s="1" t="s">
        <v>17</v>
      </c>
      <c r="D206" s="1" t="s">
        <v>54</v>
      </c>
      <c r="E206" s="1" t="s">
        <v>47</v>
      </c>
      <c r="F206" s="1" t="s">
        <v>37</v>
      </c>
      <c r="G206" s="1">
        <v>53.0</v>
      </c>
      <c r="H206" s="1">
        <v>78.0</v>
      </c>
      <c r="I206" s="1">
        <v>53.0</v>
      </c>
      <c r="J206" s="1">
        <v>50.0</v>
      </c>
      <c r="K206" s="1">
        <v>44.0</v>
      </c>
      <c r="L206" s="1">
        <v>278.0</v>
      </c>
      <c r="M206" s="1">
        <v>55.6</v>
      </c>
      <c r="N206" s="1">
        <v>80.0</v>
      </c>
      <c r="O206" s="1" t="s">
        <v>21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394</v>
      </c>
      <c r="B207" s="1" t="s">
        <v>133</v>
      </c>
      <c r="C207" s="1" t="s">
        <v>17</v>
      </c>
      <c r="D207" s="1" t="s">
        <v>40</v>
      </c>
      <c r="E207" s="1" t="s">
        <v>47</v>
      </c>
      <c r="F207" s="1" t="s">
        <v>44</v>
      </c>
      <c r="G207" s="1">
        <v>82.0</v>
      </c>
      <c r="H207" s="1">
        <v>92.0</v>
      </c>
      <c r="I207" s="1">
        <v>57.0</v>
      </c>
      <c r="J207" s="1">
        <v>74.0</v>
      </c>
      <c r="K207" s="1">
        <v>73.0</v>
      </c>
      <c r="L207" s="1">
        <v>378.0</v>
      </c>
      <c r="M207" s="1">
        <v>75.6</v>
      </c>
      <c r="N207" s="1">
        <v>89.0</v>
      </c>
      <c r="O207" s="1" t="s">
        <v>21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395</v>
      </c>
      <c r="B208" s="1" t="s">
        <v>396</v>
      </c>
      <c r="C208" s="1" t="s">
        <v>17</v>
      </c>
      <c r="D208" s="1" t="s">
        <v>54</v>
      </c>
      <c r="E208" s="1" t="s">
        <v>47</v>
      </c>
      <c r="F208" s="1" t="s">
        <v>62</v>
      </c>
      <c r="G208" s="1">
        <v>43.0</v>
      </c>
      <c r="H208" s="1">
        <v>66.0</v>
      </c>
      <c r="I208" s="1">
        <v>58.0</v>
      </c>
      <c r="J208" s="1">
        <v>79.0</v>
      </c>
      <c r="K208" s="1">
        <v>93.0</v>
      </c>
      <c r="L208" s="1">
        <v>339.0</v>
      </c>
      <c r="M208" s="1">
        <v>67.8</v>
      </c>
      <c r="N208" s="1">
        <v>97.0</v>
      </c>
      <c r="O208" s="1" t="s">
        <v>21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397</v>
      </c>
      <c r="B209" s="1" t="s">
        <v>185</v>
      </c>
      <c r="C209" s="1" t="s">
        <v>17</v>
      </c>
      <c r="D209" s="1" t="s">
        <v>18</v>
      </c>
      <c r="E209" s="1" t="s">
        <v>26</v>
      </c>
      <c r="F209" s="1" t="s">
        <v>62</v>
      </c>
      <c r="G209" s="1">
        <v>77.0</v>
      </c>
      <c r="H209" s="1">
        <v>55.0</v>
      </c>
      <c r="I209" s="1">
        <v>79.0</v>
      </c>
      <c r="J209" s="1">
        <v>93.0</v>
      </c>
      <c r="K209" s="1">
        <v>68.0</v>
      </c>
      <c r="L209" s="1">
        <v>372.0</v>
      </c>
      <c r="M209" s="1">
        <v>74.4</v>
      </c>
      <c r="N209" s="1">
        <v>61.0</v>
      </c>
      <c r="O209" s="1" t="s">
        <v>21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398</v>
      </c>
      <c r="B210" s="1" t="s">
        <v>399</v>
      </c>
      <c r="C210" s="1" t="s">
        <v>17</v>
      </c>
      <c r="D210" s="1" t="s">
        <v>54</v>
      </c>
      <c r="E210" s="1" t="s">
        <v>26</v>
      </c>
      <c r="F210" s="1" t="s">
        <v>20</v>
      </c>
      <c r="G210" s="1">
        <v>76.0</v>
      </c>
      <c r="H210" s="1">
        <v>77.0</v>
      </c>
      <c r="I210" s="1">
        <v>96.0</v>
      </c>
      <c r="J210" s="1">
        <v>80.0</v>
      </c>
      <c r="K210" s="1">
        <v>64.0</v>
      </c>
      <c r="L210" s="1">
        <v>393.0</v>
      </c>
      <c r="M210" s="1">
        <v>78.6</v>
      </c>
      <c r="N210" s="1">
        <v>94.0</v>
      </c>
      <c r="O210" s="1" t="s">
        <v>21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400</v>
      </c>
      <c r="B211" s="1" t="s">
        <v>239</v>
      </c>
      <c r="C211" s="1" t="s">
        <v>24</v>
      </c>
      <c r="D211" s="1" t="s">
        <v>54</v>
      </c>
      <c r="E211" s="1" t="s">
        <v>26</v>
      </c>
      <c r="F211" s="1" t="s">
        <v>44</v>
      </c>
      <c r="G211" s="1">
        <v>54.0</v>
      </c>
      <c r="H211" s="1">
        <v>56.0</v>
      </c>
      <c r="I211" s="1">
        <v>62.0</v>
      </c>
      <c r="J211" s="1">
        <v>94.0</v>
      </c>
      <c r="K211" s="1">
        <v>68.0</v>
      </c>
      <c r="L211" s="1">
        <v>334.0</v>
      </c>
      <c r="M211" s="1">
        <v>66.8</v>
      </c>
      <c r="N211" s="1">
        <v>68.0</v>
      </c>
      <c r="O211" s="1" t="s">
        <v>21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401</v>
      </c>
      <c r="B212" s="1" t="s">
        <v>402</v>
      </c>
      <c r="C212" s="1" t="s">
        <v>24</v>
      </c>
      <c r="D212" s="1" t="s">
        <v>54</v>
      </c>
      <c r="E212" s="1" t="s">
        <v>19</v>
      </c>
      <c r="F212" s="1" t="s">
        <v>37</v>
      </c>
      <c r="G212" s="1">
        <v>45.0</v>
      </c>
      <c r="H212" s="1">
        <v>86.0</v>
      </c>
      <c r="I212" s="1">
        <v>65.0</v>
      </c>
      <c r="J212" s="1">
        <v>53.0</v>
      </c>
      <c r="K212" s="1">
        <v>98.0</v>
      </c>
      <c r="L212" s="1">
        <v>347.0</v>
      </c>
      <c r="M212" s="1">
        <v>69.4</v>
      </c>
      <c r="N212" s="1">
        <v>68.0</v>
      </c>
      <c r="O212" s="1" t="s">
        <v>21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403</v>
      </c>
      <c r="B213" s="1" t="s">
        <v>404</v>
      </c>
      <c r="C213" s="1" t="s">
        <v>24</v>
      </c>
      <c r="D213" s="1" t="s">
        <v>25</v>
      </c>
      <c r="E213" s="1" t="s">
        <v>26</v>
      </c>
      <c r="F213" s="1" t="s">
        <v>62</v>
      </c>
      <c r="G213" s="1">
        <v>95.0</v>
      </c>
      <c r="H213" s="1">
        <v>80.0</v>
      </c>
      <c r="I213" s="1">
        <v>52.0</v>
      </c>
      <c r="J213" s="1">
        <v>76.0</v>
      </c>
      <c r="K213" s="1">
        <v>76.0</v>
      </c>
      <c r="L213" s="1">
        <v>379.0</v>
      </c>
      <c r="M213" s="1">
        <v>75.8</v>
      </c>
      <c r="N213" s="1">
        <v>91.0</v>
      </c>
      <c r="O213" s="1" t="s">
        <v>21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405</v>
      </c>
      <c r="B214" s="1" t="s">
        <v>93</v>
      </c>
      <c r="C214" s="1" t="s">
        <v>17</v>
      </c>
      <c r="D214" s="1" t="s">
        <v>40</v>
      </c>
      <c r="E214" s="1" t="s">
        <v>47</v>
      </c>
      <c r="F214" s="1" t="s">
        <v>44</v>
      </c>
      <c r="G214" s="1">
        <v>71.0</v>
      </c>
      <c r="H214" s="1">
        <v>89.0</v>
      </c>
      <c r="I214" s="1">
        <v>79.0</v>
      </c>
      <c r="J214" s="1">
        <v>45.0</v>
      </c>
      <c r="K214" s="1">
        <v>77.0</v>
      </c>
      <c r="L214" s="1">
        <v>361.0</v>
      </c>
      <c r="M214" s="1">
        <v>72.2</v>
      </c>
      <c r="N214" s="1">
        <v>71.0</v>
      </c>
      <c r="O214" s="1" t="s">
        <v>21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406</v>
      </c>
      <c r="B215" s="1" t="s">
        <v>191</v>
      </c>
      <c r="C215" s="1" t="s">
        <v>24</v>
      </c>
      <c r="D215" s="1" t="s">
        <v>18</v>
      </c>
      <c r="E215" s="1" t="s">
        <v>26</v>
      </c>
      <c r="F215" s="1" t="s">
        <v>20</v>
      </c>
      <c r="G215" s="1">
        <v>49.0</v>
      </c>
      <c r="H215" s="1">
        <v>45.0</v>
      </c>
      <c r="I215" s="1">
        <v>64.0</v>
      </c>
      <c r="J215" s="1">
        <v>75.0</v>
      </c>
      <c r="K215" s="1">
        <v>68.0</v>
      </c>
      <c r="L215" s="1">
        <v>301.0</v>
      </c>
      <c r="M215" s="1">
        <v>60.2</v>
      </c>
      <c r="N215" s="1">
        <v>88.0</v>
      </c>
      <c r="O215" s="1" t="s">
        <v>21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407</v>
      </c>
      <c r="B216" s="1" t="s">
        <v>408</v>
      </c>
      <c r="C216" s="1" t="s">
        <v>17</v>
      </c>
      <c r="D216" s="1" t="s">
        <v>18</v>
      </c>
      <c r="E216" s="1" t="s">
        <v>26</v>
      </c>
      <c r="F216" s="1" t="s">
        <v>20</v>
      </c>
      <c r="G216" s="1">
        <v>50.0</v>
      </c>
      <c r="H216" s="1">
        <v>68.0</v>
      </c>
      <c r="I216" s="1">
        <v>69.0</v>
      </c>
      <c r="J216" s="1">
        <v>62.0</v>
      </c>
      <c r="K216" s="1">
        <v>42.0</v>
      </c>
      <c r="L216" s="1">
        <v>291.0</v>
      </c>
      <c r="M216" s="1">
        <v>58.2</v>
      </c>
      <c r="N216" s="1">
        <v>69.0</v>
      </c>
      <c r="O216" s="1" t="s">
        <v>21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409</v>
      </c>
      <c r="B217" s="1" t="s">
        <v>378</v>
      </c>
      <c r="C217" s="1" t="s">
        <v>24</v>
      </c>
      <c r="D217" s="1" t="s">
        <v>18</v>
      </c>
      <c r="E217" s="1" t="s">
        <v>47</v>
      </c>
      <c r="F217" s="1" t="s">
        <v>20</v>
      </c>
      <c r="G217" s="1">
        <v>91.0</v>
      </c>
      <c r="H217" s="1">
        <v>78.0</v>
      </c>
      <c r="I217" s="1">
        <v>90.0</v>
      </c>
      <c r="J217" s="1">
        <v>68.0</v>
      </c>
      <c r="K217" s="1">
        <v>57.0</v>
      </c>
      <c r="L217" s="1">
        <v>384.0</v>
      </c>
      <c r="M217" s="1">
        <v>76.8</v>
      </c>
      <c r="N217" s="1">
        <v>99.0</v>
      </c>
      <c r="O217" s="1" t="s">
        <v>21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410</v>
      </c>
      <c r="B218" s="1" t="s">
        <v>51</v>
      </c>
      <c r="C218" s="1" t="s">
        <v>17</v>
      </c>
      <c r="D218" s="1" t="s">
        <v>18</v>
      </c>
      <c r="E218" s="1" t="s">
        <v>47</v>
      </c>
      <c r="F218" s="1" t="s">
        <v>27</v>
      </c>
      <c r="G218" s="1">
        <v>96.0</v>
      </c>
      <c r="H218" s="1">
        <v>46.0</v>
      </c>
      <c r="I218" s="1">
        <v>58.0</v>
      </c>
      <c r="J218" s="1">
        <v>56.0</v>
      </c>
      <c r="K218" s="1">
        <v>50.0</v>
      </c>
      <c r="L218" s="1">
        <v>306.0</v>
      </c>
      <c r="M218" s="1">
        <v>61.2</v>
      </c>
      <c r="N218" s="1">
        <v>94.0</v>
      </c>
      <c r="O218" s="1" t="s">
        <v>21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411</v>
      </c>
      <c r="B219" s="1" t="s">
        <v>333</v>
      </c>
      <c r="C219" s="1" t="s">
        <v>17</v>
      </c>
      <c r="D219" s="1" t="s">
        <v>54</v>
      </c>
      <c r="E219" s="1" t="s">
        <v>47</v>
      </c>
      <c r="F219" s="1" t="s">
        <v>44</v>
      </c>
      <c r="G219" s="1">
        <v>78.0</v>
      </c>
      <c r="H219" s="1">
        <v>60.0</v>
      </c>
      <c r="I219" s="1">
        <v>45.0</v>
      </c>
      <c r="J219" s="1">
        <v>77.0</v>
      </c>
      <c r="K219" s="1">
        <v>53.0</v>
      </c>
      <c r="L219" s="1">
        <v>313.0</v>
      </c>
      <c r="M219" s="1">
        <v>62.6</v>
      </c>
      <c r="N219" s="1">
        <v>65.0</v>
      </c>
      <c r="O219" s="1" t="s">
        <v>21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412</v>
      </c>
      <c r="B220" s="1" t="s">
        <v>399</v>
      </c>
      <c r="C220" s="1" t="s">
        <v>24</v>
      </c>
      <c r="D220" s="1" t="s">
        <v>40</v>
      </c>
      <c r="E220" s="1" t="s">
        <v>19</v>
      </c>
      <c r="F220" s="1" t="s">
        <v>44</v>
      </c>
      <c r="G220" s="1">
        <v>85.0</v>
      </c>
      <c r="H220" s="1">
        <v>51.0</v>
      </c>
      <c r="I220" s="1">
        <v>52.0</v>
      </c>
      <c r="J220" s="1">
        <v>73.0</v>
      </c>
      <c r="K220" s="1">
        <v>94.0</v>
      </c>
      <c r="L220" s="1">
        <v>355.0</v>
      </c>
      <c r="M220" s="1">
        <v>71.0</v>
      </c>
      <c r="N220" s="1">
        <v>69.0</v>
      </c>
      <c r="O220" s="1" t="s">
        <v>21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413</v>
      </c>
      <c r="B221" s="1" t="s">
        <v>117</v>
      </c>
      <c r="C221" s="1" t="s">
        <v>24</v>
      </c>
      <c r="D221" s="1" t="s">
        <v>40</v>
      </c>
      <c r="E221" s="1" t="s">
        <v>26</v>
      </c>
      <c r="F221" s="1" t="s">
        <v>20</v>
      </c>
      <c r="G221" s="1">
        <v>67.0</v>
      </c>
      <c r="H221" s="1">
        <v>43.0</v>
      </c>
      <c r="I221" s="1">
        <v>90.0</v>
      </c>
      <c r="J221" s="1">
        <v>81.0</v>
      </c>
      <c r="K221" s="1">
        <v>67.0</v>
      </c>
      <c r="L221" s="1">
        <v>348.0</v>
      </c>
      <c r="M221" s="1">
        <v>69.6</v>
      </c>
      <c r="N221" s="1">
        <v>64.0</v>
      </c>
      <c r="O221" s="1" t="s">
        <v>21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414</v>
      </c>
      <c r="B222" s="1" t="s">
        <v>268</v>
      </c>
      <c r="C222" s="1" t="s">
        <v>17</v>
      </c>
      <c r="D222" s="1" t="s">
        <v>54</v>
      </c>
      <c r="E222" s="1" t="s">
        <v>19</v>
      </c>
      <c r="F222" s="1" t="s">
        <v>37</v>
      </c>
      <c r="G222" s="1">
        <v>53.0</v>
      </c>
      <c r="H222" s="1">
        <v>86.0</v>
      </c>
      <c r="I222" s="1">
        <v>61.0</v>
      </c>
      <c r="J222" s="1">
        <v>45.0</v>
      </c>
      <c r="K222" s="1">
        <v>89.0</v>
      </c>
      <c r="L222" s="1">
        <v>334.0</v>
      </c>
      <c r="M222" s="1">
        <v>66.8</v>
      </c>
      <c r="N222" s="1">
        <v>88.0</v>
      </c>
      <c r="O222" s="1" t="s">
        <v>21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415</v>
      </c>
      <c r="B223" s="1" t="s">
        <v>121</v>
      </c>
      <c r="C223" s="1" t="s">
        <v>17</v>
      </c>
      <c r="D223" s="1" t="s">
        <v>25</v>
      </c>
      <c r="E223" s="1" t="s">
        <v>26</v>
      </c>
      <c r="F223" s="1" t="s">
        <v>20</v>
      </c>
      <c r="G223" s="1">
        <v>59.0</v>
      </c>
      <c r="H223" s="1">
        <v>67.0</v>
      </c>
      <c r="I223" s="1">
        <v>54.0</v>
      </c>
      <c r="J223" s="1">
        <v>66.0</v>
      </c>
      <c r="K223" s="1">
        <v>86.0</v>
      </c>
      <c r="L223" s="1">
        <v>332.0</v>
      </c>
      <c r="M223" s="1">
        <v>66.4</v>
      </c>
      <c r="N223" s="1">
        <v>97.0</v>
      </c>
      <c r="O223" s="1" t="s">
        <v>21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416</v>
      </c>
      <c r="B224" s="1" t="s">
        <v>417</v>
      </c>
      <c r="C224" s="1" t="s">
        <v>24</v>
      </c>
      <c r="D224" s="1" t="s">
        <v>30</v>
      </c>
      <c r="E224" s="1" t="s">
        <v>19</v>
      </c>
      <c r="F224" s="1" t="s">
        <v>37</v>
      </c>
      <c r="G224" s="1">
        <v>58.0</v>
      </c>
      <c r="H224" s="1">
        <v>80.0</v>
      </c>
      <c r="I224" s="1">
        <v>69.0</v>
      </c>
      <c r="J224" s="1">
        <v>56.0</v>
      </c>
      <c r="K224" s="1">
        <v>63.0</v>
      </c>
      <c r="L224" s="1">
        <v>326.0</v>
      </c>
      <c r="M224" s="1">
        <v>65.2</v>
      </c>
      <c r="N224" s="1">
        <v>97.0</v>
      </c>
      <c r="O224" s="1" t="s">
        <v>21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418</v>
      </c>
      <c r="B225" s="1" t="s">
        <v>419</v>
      </c>
      <c r="C225" s="1" t="s">
        <v>17</v>
      </c>
      <c r="D225" s="1" t="s">
        <v>25</v>
      </c>
      <c r="E225" s="1" t="s">
        <v>19</v>
      </c>
      <c r="F225" s="1" t="s">
        <v>41</v>
      </c>
      <c r="G225" s="1">
        <v>96.0</v>
      </c>
      <c r="H225" s="1">
        <v>62.0</v>
      </c>
      <c r="I225" s="1">
        <v>73.0</v>
      </c>
      <c r="J225" s="1">
        <v>68.0</v>
      </c>
      <c r="K225" s="1">
        <v>99.0</v>
      </c>
      <c r="L225" s="1">
        <v>398.0</v>
      </c>
      <c r="M225" s="1">
        <v>79.6</v>
      </c>
      <c r="N225" s="1">
        <v>62.0</v>
      </c>
      <c r="O225" s="1" t="s">
        <v>21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420</v>
      </c>
      <c r="B226" s="1" t="s">
        <v>204</v>
      </c>
      <c r="C226" s="1" t="s">
        <v>17</v>
      </c>
      <c r="D226" s="1" t="s">
        <v>54</v>
      </c>
      <c r="E226" s="1" t="s">
        <v>47</v>
      </c>
      <c r="F226" s="1" t="s">
        <v>41</v>
      </c>
      <c r="G226" s="1">
        <v>42.0</v>
      </c>
      <c r="H226" s="1">
        <v>64.0</v>
      </c>
      <c r="I226" s="1">
        <v>94.0</v>
      </c>
      <c r="J226" s="1">
        <v>49.0</v>
      </c>
      <c r="K226" s="1">
        <v>49.0</v>
      </c>
      <c r="L226" s="1">
        <v>298.0</v>
      </c>
      <c r="M226" s="1">
        <v>59.6</v>
      </c>
      <c r="N226" s="1">
        <v>76.0</v>
      </c>
      <c r="O226" s="1" t="s">
        <v>21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421</v>
      </c>
      <c r="B227" s="1" t="s">
        <v>422</v>
      </c>
      <c r="C227" s="1" t="s">
        <v>17</v>
      </c>
      <c r="D227" s="1" t="s">
        <v>40</v>
      </c>
      <c r="E227" s="1" t="s">
        <v>26</v>
      </c>
      <c r="F227" s="1" t="s">
        <v>44</v>
      </c>
      <c r="G227" s="1">
        <v>67.0</v>
      </c>
      <c r="H227" s="1">
        <v>56.0</v>
      </c>
      <c r="I227" s="1">
        <v>78.0</v>
      </c>
      <c r="J227" s="1">
        <v>81.0</v>
      </c>
      <c r="K227" s="1">
        <v>80.0</v>
      </c>
      <c r="L227" s="1">
        <v>362.0</v>
      </c>
      <c r="M227" s="1">
        <v>72.4</v>
      </c>
      <c r="N227" s="1">
        <v>75.0</v>
      </c>
      <c r="O227" s="1" t="s">
        <v>21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423</v>
      </c>
      <c r="B228" s="1" t="s">
        <v>424</v>
      </c>
      <c r="C228" s="1" t="s">
        <v>17</v>
      </c>
      <c r="D228" s="1" t="s">
        <v>18</v>
      </c>
      <c r="E228" s="1" t="s">
        <v>19</v>
      </c>
      <c r="F228" s="1" t="s">
        <v>27</v>
      </c>
      <c r="G228" s="1">
        <v>99.0</v>
      </c>
      <c r="H228" s="1">
        <v>52.0</v>
      </c>
      <c r="I228" s="1">
        <v>89.0</v>
      </c>
      <c r="J228" s="1">
        <v>80.0</v>
      </c>
      <c r="K228" s="1">
        <v>82.0</v>
      </c>
      <c r="L228" s="1">
        <v>402.0</v>
      </c>
      <c r="M228" s="1">
        <v>80.4</v>
      </c>
      <c r="N228" s="1">
        <v>66.0</v>
      </c>
      <c r="O228" s="1" t="s">
        <v>21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425</v>
      </c>
      <c r="B229" s="1" t="s">
        <v>127</v>
      </c>
      <c r="C229" s="1" t="s">
        <v>24</v>
      </c>
      <c r="D229" s="1" t="s">
        <v>40</v>
      </c>
      <c r="E229" s="1" t="s">
        <v>47</v>
      </c>
      <c r="F229" s="1" t="s">
        <v>37</v>
      </c>
      <c r="G229" s="1">
        <v>55.0</v>
      </c>
      <c r="H229" s="1">
        <v>62.0</v>
      </c>
      <c r="I229" s="1">
        <v>79.0</v>
      </c>
      <c r="J229" s="1">
        <v>93.0</v>
      </c>
      <c r="K229" s="1">
        <v>66.0</v>
      </c>
      <c r="L229" s="1">
        <v>355.0</v>
      </c>
      <c r="M229" s="1">
        <v>71.0</v>
      </c>
      <c r="N229" s="1">
        <v>91.0</v>
      </c>
      <c r="O229" s="1" t="s">
        <v>21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426</v>
      </c>
      <c r="B230" s="1" t="s">
        <v>427</v>
      </c>
      <c r="C230" s="1" t="s">
        <v>17</v>
      </c>
      <c r="D230" s="1" t="s">
        <v>25</v>
      </c>
      <c r="E230" s="1" t="s">
        <v>26</v>
      </c>
      <c r="F230" s="1" t="s">
        <v>44</v>
      </c>
      <c r="G230" s="1">
        <v>44.0</v>
      </c>
      <c r="H230" s="1">
        <v>100.0</v>
      </c>
      <c r="I230" s="1">
        <v>97.0</v>
      </c>
      <c r="J230" s="1">
        <v>49.0</v>
      </c>
      <c r="K230" s="1">
        <v>54.0</v>
      </c>
      <c r="L230" s="1">
        <v>344.0</v>
      </c>
      <c r="M230" s="1">
        <v>68.8</v>
      </c>
      <c r="N230" s="1">
        <v>72.0</v>
      </c>
      <c r="O230" s="1" t="s">
        <v>21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428</v>
      </c>
      <c r="B231" s="1" t="s">
        <v>429</v>
      </c>
      <c r="C231" s="1" t="s">
        <v>24</v>
      </c>
      <c r="D231" s="1" t="s">
        <v>40</v>
      </c>
      <c r="E231" s="1" t="s">
        <v>47</v>
      </c>
      <c r="F231" s="1" t="s">
        <v>55</v>
      </c>
      <c r="G231" s="1">
        <v>71.0</v>
      </c>
      <c r="H231" s="1">
        <v>86.0</v>
      </c>
      <c r="I231" s="1">
        <v>61.0</v>
      </c>
      <c r="J231" s="1">
        <v>83.0</v>
      </c>
      <c r="K231" s="1">
        <v>57.0</v>
      </c>
      <c r="L231" s="1">
        <v>358.0</v>
      </c>
      <c r="M231" s="1">
        <v>71.6</v>
      </c>
      <c r="N231" s="1">
        <v>84.0</v>
      </c>
      <c r="O231" s="1" t="s">
        <v>21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430</v>
      </c>
      <c r="B232" s="1" t="s">
        <v>103</v>
      </c>
      <c r="C232" s="1" t="s">
        <v>24</v>
      </c>
      <c r="D232" s="1" t="s">
        <v>30</v>
      </c>
      <c r="E232" s="1" t="s">
        <v>19</v>
      </c>
      <c r="F232" s="1" t="s">
        <v>37</v>
      </c>
      <c r="G232" s="1">
        <v>83.0</v>
      </c>
      <c r="H232" s="1">
        <v>94.0</v>
      </c>
      <c r="I232" s="1">
        <v>91.0</v>
      </c>
      <c r="J232" s="1">
        <v>44.0</v>
      </c>
      <c r="K232" s="1">
        <v>76.0</v>
      </c>
      <c r="L232" s="1">
        <v>388.0</v>
      </c>
      <c r="M232" s="1">
        <v>77.6</v>
      </c>
      <c r="N232" s="1">
        <v>84.0</v>
      </c>
      <c r="O232" s="1" t="s">
        <v>21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431</v>
      </c>
      <c r="B233" s="1" t="s">
        <v>16</v>
      </c>
      <c r="C233" s="1" t="s">
        <v>17</v>
      </c>
      <c r="D233" s="1" t="s">
        <v>25</v>
      </c>
      <c r="E233" s="1" t="s">
        <v>47</v>
      </c>
      <c r="F233" s="1" t="s">
        <v>20</v>
      </c>
      <c r="G233" s="1">
        <v>88.0</v>
      </c>
      <c r="H233" s="1">
        <v>94.0</v>
      </c>
      <c r="I233" s="1">
        <v>84.0</v>
      </c>
      <c r="J233" s="1">
        <v>76.0</v>
      </c>
      <c r="K233" s="1">
        <v>95.0</v>
      </c>
      <c r="L233" s="1">
        <v>437.0</v>
      </c>
      <c r="M233" s="1">
        <v>87.4</v>
      </c>
      <c r="N233" s="1">
        <v>62.0</v>
      </c>
      <c r="O233" s="1" t="s">
        <v>21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432</v>
      </c>
      <c r="B234" s="1" t="s">
        <v>149</v>
      </c>
      <c r="C234" s="1" t="s">
        <v>17</v>
      </c>
      <c r="D234" s="1" t="s">
        <v>25</v>
      </c>
      <c r="E234" s="1" t="s">
        <v>19</v>
      </c>
      <c r="F234" s="1" t="s">
        <v>77</v>
      </c>
      <c r="G234" s="1">
        <v>69.0</v>
      </c>
      <c r="H234" s="1">
        <v>90.0</v>
      </c>
      <c r="I234" s="1">
        <v>46.0</v>
      </c>
      <c r="J234" s="1">
        <v>40.0</v>
      </c>
      <c r="K234" s="1">
        <v>81.0</v>
      </c>
      <c r="L234" s="1">
        <v>326.0</v>
      </c>
      <c r="M234" s="1">
        <v>65.2</v>
      </c>
      <c r="N234" s="1">
        <v>70.0</v>
      </c>
      <c r="O234" s="1" t="s">
        <v>21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433</v>
      </c>
      <c r="B235" s="1" t="s">
        <v>434</v>
      </c>
      <c r="C235" s="1" t="s">
        <v>24</v>
      </c>
      <c r="D235" s="1" t="s">
        <v>25</v>
      </c>
      <c r="E235" s="1" t="s">
        <v>47</v>
      </c>
      <c r="F235" s="1" t="s">
        <v>62</v>
      </c>
      <c r="G235" s="1">
        <v>47.0</v>
      </c>
      <c r="H235" s="1">
        <v>46.0</v>
      </c>
      <c r="I235" s="1">
        <v>92.0</v>
      </c>
      <c r="J235" s="1">
        <v>53.0</v>
      </c>
      <c r="K235" s="1">
        <v>91.0</v>
      </c>
      <c r="L235" s="1">
        <v>329.0</v>
      </c>
      <c r="M235" s="1">
        <v>65.8</v>
      </c>
      <c r="N235" s="1">
        <v>76.0</v>
      </c>
      <c r="O235" s="1" t="s">
        <v>21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435</v>
      </c>
      <c r="B236" s="1" t="s">
        <v>436</v>
      </c>
      <c r="C236" s="1" t="s">
        <v>17</v>
      </c>
      <c r="D236" s="1" t="s">
        <v>25</v>
      </c>
      <c r="E236" s="1" t="s">
        <v>19</v>
      </c>
      <c r="F236" s="1" t="s">
        <v>37</v>
      </c>
      <c r="G236" s="1">
        <v>91.0</v>
      </c>
      <c r="H236" s="1">
        <v>41.0</v>
      </c>
      <c r="I236" s="1">
        <v>44.0</v>
      </c>
      <c r="J236" s="1">
        <v>78.0</v>
      </c>
      <c r="K236" s="1">
        <v>46.0</v>
      </c>
      <c r="L236" s="1">
        <v>300.0</v>
      </c>
      <c r="M236" s="1">
        <v>60.0</v>
      </c>
      <c r="N236" s="1">
        <v>89.0</v>
      </c>
      <c r="O236" s="1" t="s">
        <v>21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437</v>
      </c>
      <c r="B237" s="1" t="s">
        <v>344</v>
      </c>
      <c r="C237" s="1" t="s">
        <v>24</v>
      </c>
      <c r="D237" s="1" t="s">
        <v>40</v>
      </c>
      <c r="E237" s="1" t="s">
        <v>47</v>
      </c>
      <c r="F237" s="1" t="s">
        <v>27</v>
      </c>
      <c r="G237" s="1">
        <v>78.0</v>
      </c>
      <c r="H237" s="1">
        <v>95.0</v>
      </c>
      <c r="I237" s="1">
        <v>52.0</v>
      </c>
      <c r="J237" s="1">
        <v>85.0</v>
      </c>
      <c r="K237" s="1">
        <v>53.0</v>
      </c>
      <c r="L237" s="1">
        <v>363.0</v>
      </c>
      <c r="M237" s="1">
        <v>72.6</v>
      </c>
      <c r="N237" s="1">
        <v>88.0</v>
      </c>
      <c r="O237" s="1" t="s">
        <v>21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438</v>
      </c>
      <c r="B238" s="1" t="s">
        <v>388</v>
      </c>
      <c r="C238" s="1" t="s">
        <v>24</v>
      </c>
      <c r="D238" s="1" t="s">
        <v>25</v>
      </c>
      <c r="E238" s="1" t="s">
        <v>47</v>
      </c>
      <c r="F238" s="1" t="s">
        <v>20</v>
      </c>
      <c r="G238" s="1">
        <v>80.0</v>
      </c>
      <c r="H238" s="1">
        <v>43.0</v>
      </c>
      <c r="I238" s="1">
        <v>96.0</v>
      </c>
      <c r="J238" s="1">
        <v>74.0</v>
      </c>
      <c r="K238" s="1">
        <v>49.0</v>
      </c>
      <c r="L238" s="1">
        <v>342.0</v>
      </c>
      <c r="M238" s="1">
        <v>68.4</v>
      </c>
      <c r="N238" s="1">
        <v>78.0</v>
      </c>
      <c r="O238" s="1" t="s">
        <v>21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439</v>
      </c>
      <c r="B239" s="1" t="s">
        <v>440</v>
      </c>
      <c r="C239" s="1" t="s">
        <v>24</v>
      </c>
      <c r="D239" s="1" t="s">
        <v>18</v>
      </c>
      <c r="E239" s="1" t="s">
        <v>47</v>
      </c>
      <c r="F239" s="1" t="s">
        <v>55</v>
      </c>
      <c r="G239" s="1">
        <v>48.0</v>
      </c>
      <c r="H239" s="1">
        <v>50.0</v>
      </c>
      <c r="I239" s="1">
        <v>67.0</v>
      </c>
      <c r="J239" s="1">
        <v>91.0</v>
      </c>
      <c r="K239" s="1">
        <v>52.0</v>
      </c>
      <c r="L239" s="1">
        <v>308.0</v>
      </c>
      <c r="M239" s="1">
        <v>61.6</v>
      </c>
      <c r="N239" s="1">
        <v>97.0</v>
      </c>
      <c r="O239" s="1" t="s">
        <v>21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441</v>
      </c>
      <c r="B240" s="1" t="s">
        <v>442</v>
      </c>
      <c r="C240" s="1" t="s">
        <v>24</v>
      </c>
      <c r="D240" s="1" t="s">
        <v>30</v>
      </c>
      <c r="E240" s="1" t="s">
        <v>19</v>
      </c>
      <c r="F240" s="1" t="s">
        <v>20</v>
      </c>
      <c r="G240" s="1">
        <v>92.0</v>
      </c>
      <c r="H240" s="1">
        <v>54.0</v>
      </c>
      <c r="I240" s="1">
        <v>81.0</v>
      </c>
      <c r="J240" s="1">
        <v>65.0</v>
      </c>
      <c r="K240" s="1">
        <v>51.0</v>
      </c>
      <c r="L240" s="1">
        <v>343.0</v>
      </c>
      <c r="M240" s="1">
        <v>68.6</v>
      </c>
      <c r="N240" s="1">
        <v>71.0</v>
      </c>
      <c r="O240" s="1" t="s">
        <v>21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443</v>
      </c>
      <c r="B241" s="1" t="s">
        <v>193</v>
      </c>
      <c r="C241" s="1" t="s">
        <v>17</v>
      </c>
      <c r="D241" s="1" t="s">
        <v>25</v>
      </c>
      <c r="E241" s="1" t="s">
        <v>26</v>
      </c>
      <c r="F241" s="1" t="s">
        <v>37</v>
      </c>
      <c r="G241" s="1">
        <v>95.0</v>
      </c>
      <c r="H241" s="1">
        <v>94.0</v>
      </c>
      <c r="I241" s="1">
        <v>62.0</v>
      </c>
      <c r="J241" s="1">
        <v>59.0</v>
      </c>
      <c r="K241" s="1">
        <v>53.0</v>
      </c>
      <c r="L241" s="1">
        <v>363.0</v>
      </c>
      <c r="M241" s="1">
        <v>72.6</v>
      </c>
      <c r="N241" s="1">
        <v>77.0</v>
      </c>
      <c r="O241" s="1" t="s">
        <v>21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444</v>
      </c>
      <c r="B242" s="1" t="s">
        <v>324</v>
      </c>
      <c r="C242" s="1" t="s">
        <v>17</v>
      </c>
      <c r="D242" s="1" t="s">
        <v>30</v>
      </c>
      <c r="E242" s="1" t="s">
        <v>47</v>
      </c>
      <c r="F242" s="1" t="s">
        <v>77</v>
      </c>
      <c r="G242" s="1">
        <v>45.0</v>
      </c>
      <c r="H242" s="1">
        <v>84.0</v>
      </c>
      <c r="I242" s="1">
        <v>82.0</v>
      </c>
      <c r="J242" s="1">
        <v>92.0</v>
      </c>
      <c r="K242" s="1">
        <v>93.0</v>
      </c>
      <c r="L242" s="1">
        <v>396.0</v>
      </c>
      <c r="M242" s="1">
        <v>79.2</v>
      </c>
      <c r="N242" s="1">
        <v>87.0</v>
      </c>
      <c r="O242" s="1" t="s">
        <v>21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445</v>
      </c>
      <c r="B243" s="1" t="s">
        <v>295</v>
      </c>
      <c r="C243" s="1" t="s">
        <v>17</v>
      </c>
      <c r="D243" s="1" t="s">
        <v>54</v>
      </c>
      <c r="E243" s="1" t="s">
        <v>47</v>
      </c>
      <c r="F243" s="1" t="s">
        <v>41</v>
      </c>
      <c r="G243" s="1">
        <v>48.0</v>
      </c>
      <c r="H243" s="1">
        <v>77.0</v>
      </c>
      <c r="I243" s="1">
        <v>90.0</v>
      </c>
      <c r="J243" s="1">
        <v>88.0</v>
      </c>
      <c r="K243" s="1">
        <v>70.0</v>
      </c>
      <c r="L243" s="1">
        <v>373.0</v>
      </c>
      <c r="M243" s="1">
        <v>74.6</v>
      </c>
      <c r="N243" s="1">
        <v>72.0</v>
      </c>
      <c r="O243" s="1" t="s">
        <v>21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446</v>
      </c>
      <c r="B244" s="1" t="s">
        <v>447</v>
      </c>
      <c r="C244" s="1" t="s">
        <v>17</v>
      </c>
      <c r="D244" s="1" t="s">
        <v>30</v>
      </c>
      <c r="E244" s="1" t="s">
        <v>47</v>
      </c>
      <c r="F244" s="1" t="s">
        <v>27</v>
      </c>
      <c r="G244" s="1">
        <v>94.0</v>
      </c>
      <c r="H244" s="1">
        <v>68.0</v>
      </c>
      <c r="I244" s="1">
        <v>42.0</v>
      </c>
      <c r="J244" s="1">
        <v>97.0</v>
      </c>
      <c r="K244" s="1">
        <v>76.0</v>
      </c>
      <c r="L244" s="1">
        <v>377.0</v>
      </c>
      <c r="M244" s="1">
        <v>75.4</v>
      </c>
      <c r="N244" s="1">
        <v>90.0</v>
      </c>
      <c r="O244" s="1" t="s">
        <v>21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448</v>
      </c>
      <c r="B245" s="1" t="s">
        <v>64</v>
      </c>
      <c r="C245" s="1" t="s">
        <v>17</v>
      </c>
      <c r="D245" s="1" t="s">
        <v>40</v>
      </c>
      <c r="E245" s="1" t="s">
        <v>19</v>
      </c>
      <c r="F245" s="1" t="s">
        <v>20</v>
      </c>
      <c r="G245" s="1">
        <v>40.0</v>
      </c>
      <c r="H245" s="1">
        <v>64.0</v>
      </c>
      <c r="I245" s="1">
        <v>73.0</v>
      </c>
      <c r="J245" s="1">
        <v>45.0</v>
      </c>
      <c r="K245" s="1">
        <v>48.0</v>
      </c>
      <c r="L245" s="1">
        <v>270.0</v>
      </c>
      <c r="M245" s="1">
        <v>54.0</v>
      </c>
      <c r="N245" s="1">
        <v>76.0</v>
      </c>
      <c r="O245" s="1" t="s">
        <v>21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449</v>
      </c>
      <c r="B246" s="1" t="s">
        <v>450</v>
      </c>
      <c r="C246" s="1" t="s">
        <v>24</v>
      </c>
      <c r="D246" s="1" t="s">
        <v>18</v>
      </c>
      <c r="E246" s="1" t="s">
        <v>26</v>
      </c>
      <c r="F246" s="1" t="s">
        <v>27</v>
      </c>
      <c r="G246" s="1">
        <v>52.0</v>
      </c>
      <c r="H246" s="1">
        <v>64.0</v>
      </c>
      <c r="I246" s="1">
        <v>78.0</v>
      </c>
      <c r="J246" s="1">
        <v>81.0</v>
      </c>
      <c r="K246" s="1">
        <v>71.0</v>
      </c>
      <c r="L246" s="1">
        <v>346.0</v>
      </c>
      <c r="M246" s="1">
        <v>69.2</v>
      </c>
      <c r="N246" s="1">
        <v>100.0</v>
      </c>
      <c r="O246" s="1" t="s">
        <v>21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451</v>
      </c>
      <c r="B247" s="1" t="s">
        <v>149</v>
      </c>
      <c r="C247" s="1" t="s">
        <v>24</v>
      </c>
      <c r="D247" s="1" t="s">
        <v>25</v>
      </c>
      <c r="E247" s="1" t="s">
        <v>47</v>
      </c>
      <c r="F247" s="1" t="s">
        <v>55</v>
      </c>
      <c r="G247" s="1">
        <v>58.0</v>
      </c>
      <c r="H247" s="1">
        <v>91.0</v>
      </c>
      <c r="I247" s="1">
        <v>47.0</v>
      </c>
      <c r="J247" s="1">
        <v>98.0</v>
      </c>
      <c r="K247" s="1">
        <v>50.0</v>
      </c>
      <c r="L247" s="1">
        <v>344.0</v>
      </c>
      <c r="M247" s="1">
        <v>68.8</v>
      </c>
      <c r="N247" s="1">
        <v>73.0</v>
      </c>
      <c r="O247" s="1" t="s">
        <v>21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452</v>
      </c>
      <c r="B248" s="1" t="s">
        <v>105</v>
      </c>
      <c r="C248" s="1" t="s">
        <v>17</v>
      </c>
      <c r="D248" s="1" t="s">
        <v>30</v>
      </c>
      <c r="E248" s="1" t="s">
        <v>26</v>
      </c>
      <c r="F248" s="1" t="s">
        <v>62</v>
      </c>
      <c r="G248" s="1">
        <v>67.0</v>
      </c>
      <c r="H248" s="1">
        <v>69.0</v>
      </c>
      <c r="I248" s="1">
        <v>91.0</v>
      </c>
      <c r="J248" s="1">
        <v>61.0</v>
      </c>
      <c r="K248" s="1">
        <v>85.0</v>
      </c>
      <c r="L248" s="1">
        <v>373.0</v>
      </c>
      <c r="M248" s="1">
        <v>74.6</v>
      </c>
      <c r="N248" s="1">
        <v>62.0</v>
      </c>
      <c r="O248" s="1" t="s">
        <v>21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453</v>
      </c>
      <c r="B249" s="1" t="s">
        <v>43</v>
      </c>
      <c r="C249" s="1" t="s">
        <v>24</v>
      </c>
      <c r="D249" s="1" t="s">
        <v>54</v>
      </c>
      <c r="E249" s="1" t="s">
        <v>26</v>
      </c>
      <c r="F249" s="1" t="s">
        <v>27</v>
      </c>
      <c r="G249" s="1">
        <v>62.0</v>
      </c>
      <c r="H249" s="1">
        <v>90.0</v>
      </c>
      <c r="I249" s="1">
        <v>66.0</v>
      </c>
      <c r="J249" s="1">
        <v>42.0</v>
      </c>
      <c r="K249" s="1">
        <v>70.0</v>
      </c>
      <c r="L249" s="1">
        <v>330.0</v>
      </c>
      <c r="M249" s="1">
        <v>66.0</v>
      </c>
      <c r="N249" s="1">
        <v>79.0</v>
      </c>
      <c r="O249" s="1" t="s">
        <v>21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454</v>
      </c>
      <c r="B250" s="1" t="s">
        <v>455</v>
      </c>
      <c r="C250" s="1" t="s">
        <v>24</v>
      </c>
      <c r="D250" s="1" t="s">
        <v>54</v>
      </c>
      <c r="E250" s="1" t="s">
        <v>26</v>
      </c>
      <c r="F250" s="1" t="s">
        <v>41</v>
      </c>
      <c r="G250" s="1">
        <v>70.0</v>
      </c>
      <c r="H250" s="1">
        <v>76.0</v>
      </c>
      <c r="I250" s="1">
        <v>67.0</v>
      </c>
      <c r="J250" s="1">
        <v>64.0</v>
      </c>
      <c r="K250" s="1">
        <v>50.0</v>
      </c>
      <c r="L250" s="1">
        <v>327.0</v>
      </c>
      <c r="M250" s="1">
        <v>65.4</v>
      </c>
      <c r="N250" s="1">
        <v>72.0</v>
      </c>
      <c r="O250" s="1" t="s">
        <v>21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456</v>
      </c>
      <c r="B251" s="1" t="s">
        <v>115</v>
      </c>
      <c r="C251" s="1" t="s">
        <v>17</v>
      </c>
      <c r="D251" s="1" t="s">
        <v>54</v>
      </c>
      <c r="E251" s="1" t="s">
        <v>19</v>
      </c>
      <c r="F251" s="1" t="s">
        <v>44</v>
      </c>
      <c r="G251" s="1">
        <v>98.0</v>
      </c>
      <c r="H251" s="1">
        <v>89.0</v>
      </c>
      <c r="I251" s="1">
        <v>44.0</v>
      </c>
      <c r="J251" s="1">
        <v>59.0</v>
      </c>
      <c r="K251" s="1">
        <v>98.0</v>
      </c>
      <c r="L251" s="1">
        <v>388.0</v>
      </c>
      <c r="M251" s="1">
        <v>77.6</v>
      </c>
      <c r="N251" s="1">
        <v>74.0</v>
      </c>
      <c r="O251" s="1" t="s">
        <v>21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457</v>
      </c>
      <c r="B252" s="1" t="s">
        <v>320</v>
      </c>
      <c r="C252" s="1" t="s">
        <v>17</v>
      </c>
      <c r="D252" s="1" t="s">
        <v>18</v>
      </c>
      <c r="E252" s="1" t="s">
        <v>47</v>
      </c>
      <c r="F252" s="1" t="s">
        <v>41</v>
      </c>
      <c r="G252" s="1">
        <v>92.0</v>
      </c>
      <c r="H252" s="1">
        <v>92.0</v>
      </c>
      <c r="I252" s="1">
        <v>94.0</v>
      </c>
      <c r="J252" s="1">
        <v>52.0</v>
      </c>
      <c r="K252" s="1">
        <v>68.0</v>
      </c>
      <c r="L252" s="1">
        <v>398.0</v>
      </c>
      <c r="M252" s="1">
        <v>79.6</v>
      </c>
      <c r="N252" s="1">
        <v>67.0</v>
      </c>
      <c r="O252" s="1" t="s">
        <v>21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458</v>
      </c>
      <c r="B253" s="1" t="s">
        <v>459</v>
      </c>
      <c r="C253" s="1" t="s">
        <v>24</v>
      </c>
      <c r="D253" s="1" t="s">
        <v>30</v>
      </c>
      <c r="E253" s="1" t="s">
        <v>47</v>
      </c>
      <c r="F253" s="1" t="s">
        <v>44</v>
      </c>
      <c r="G253" s="1">
        <v>71.0</v>
      </c>
      <c r="H253" s="1">
        <v>72.0</v>
      </c>
      <c r="I253" s="1">
        <v>94.0</v>
      </c>
      <c r="J253" s="1">
        <v>82.0</v>
      </c>
      <c r="K253" s="1">
        <v>40.0</v>
      </c>
      <c r="L253" s="1">
        <v>359.0</v>
      </c>
      <c r="M253" s="1">
        <v>71.8</v>
      </c>
      <c r="N253" s="1">
        <v>75.0</v>
      </c>
      <c r="O253" s="1" t="s">
        <v>21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460</v>
      </c>
      <c r="B254" s="1" t="s">
        <v>461</v>
      </c>
      <c r="C254" s="1" t="s">
        <v>17</v>
      </c>
      <c r="D254" s="1" t="s">
        <v>18</v>
      </c>
      <c r="E254" s="1" t="s">
        <v>26</v>
      </c>
      <c r="F254" s="1" t="s">
        <v>41</v>
      </c>
      <c r="G254" s="1">
        <v>96.0</v>
      </c>
      <c r="H254" s="1">
        <v>95.0</v>
      </c>
      <c r="I254" s="1">
        <v>64.0</v>
      </c>
      <c r="J254" s="1">
        <v>90.0</v>
      </c>
      <c r="K254" s="1">
        <v>50.0</v>
      </c>
      <c r="L254" s="1">
        <v>395.0</v>
      </c>
      <c r="M254" s="1">
        <v>79.0</v>
      </c>
      <c r="N254" s="1">
        <v>75.0</v>
      </c>
      <c r="O254" s="1" t="s">
        <v>21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462</v>
      </c>
      <c r="B255" s="1" t="s">
        <v>463</v>
      </c>
      <c r="C255" s="1" t="s">
        <v>17</v>
      </c>
      <c r="D255" s="1" t="s">
        <v>18</v>
      </c>
      <c r="E255" s="1" t="s">
        <v>26</v>
      </c>
      <c r="F255" s="1" t="s">
        <v>27</v>
      </c>
      <c r="G255" s="1">
        <v>76.0</v>
      </c>
      <c r="H255" s="1">
        <v>52.0</v>
      </c>
      <c r="I255" s="1">
        <v>64.0</v>
      </c>
      <c r="J255" s="1">
        <v>82.0</v>
      </c>
      <c r="K255" s="1">
        <v>100.0</v>
      </c>
      <c r="L255" s="1">
        <v>374.0</v>
      </c>
      <c r="M255" s="1">
        <v>74.8</v>
      </c>
      <c r="N255" s="1">
        <v>75.0</v>
      </c>
      <c r="O255" s="1" t="s">
        <v>21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464</v>
      </c>
      <c r="B256" s="1" t="s">
        <v>374</v>
      </c>
      <c r="C256" s="1" t="s">
        <v>24</v>
      </c>
      <c r="D256" s="1" t="s">
        <v>30</v>
      </c>
      <c r="E256" s="1" t="s">
        <v>47</v>
      </c>
      <c r="F256" s="1" t="s">
        <v>41</v>
      </c>
      <c r="G256" s="1">
        <v>80.0</v>
      </c>
      <c r="H256" s="1">
        <v>63.0</v>
      </c>
      <c r="I256" s="1">
        <v>50.0</v>
      </c>
      <c r="J256" s="1">
        <v>59.0</v>
      </c>
      <c r="K256" s="1">
        <v>73.0</v>
      </c>
      <c r="L256" s="1">
        <v>325.0</v>
      </c>
      <c r="M256" s="1">
        <v>65.0</v>
      </c>
      <c r="N256" s="1">
        <v>65.0</v>
      </c>
      <c r="O256" s="1" t="s">
        <v>21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465</v>
      </c>
      <c r="B257" s="1" t="s">
        <v>313</v>
      </c>
      <c r="C257" s="1" t="s">
        <v>24</v>
      </c>
      <c r="D257" s="1" t="s">
        <v>40</v>
      </c>
      <c r="E257" s="1" t="s">
        <v>19</v>
      </c>
      <c r="F257" s="1" t="s">
        <v>27</v>
      </c>
      <c r="G257" s="1">
        <v>43.0</v>
      </c>
      <c r="H257" s="1">
        <v>70.0</v>
      </c>
      <c r="I257" s="1">
        <v>60.0</v>
      </c>
      <c r="J257" s="1">
        <v>66.0</v>
      </c>
      <c r="K257" s="1">
        <v>66.0</v>
      </c>
      <c r="L257" s="1">
        <v>305.0</v>
      </c>
      <c r="M257" s="1">
        <v>61.0</v>
      </c>
      <c r="N257" s="1">
        <v>96.0</v>
      </c>
      <c r="O257" s="1" t="s">
        <v>21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466</v>
      </c>
      <c r="B258" s="1" t="s">
        <v>467</v>
      </c>
      <c r="C258" s="1" t="s">
        <v>24</v>
      </c>
      <c r="D258" s="1" t="s">
        <v>54</v>
      </c>
      <c r="E258" s="1" t="s">
        <v>26</v>
      </c>
      <c r="F258" s="1" t="s">
        <v>41</v>
      </c>
      <c r="G258" s="1">
        <v>74.0</v>
      </c>
      <c r="H258" s="1">
        <v>90.0</v>
      </c>
      <c r="I258" s="1">
        <v>83.0</v>
      </c>
      <c r="J258" s="1">
        <v>73.0</v>
      </c>
      <c r="K258" s="1">
        <v>41.0</v>
      </c>
      <c r="L258" s="1">
        <v>361.0</v>
      </c>
      <c r="M258" s="1">
        <v>72.2</v>
      </c>
      <c r="N258" s="1">
        <v>84.0</v>
      </c>
      <c r="O258" s="1" t="s">
        <v>21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468</v>
      </c>
      <c r="B259" s="1" t="s">
        <v>244</v>
      </c>
      <c r="C259" s="1" t="s">
        <v>24</v>
      </c>
      <c r="D259" s="1" t="s">
        <v>40</v>
      </c>
      <c r="E259" s="1" t="s">
        <v>26</v>
      </c>
      <c r="F259" s="1" t="s">
        <v>55</v>
      </c>
      <c r="G259" s="1">
        <v>41.0</v>
      </c>
      <c r="H259" s="1">
        <v>90.0</v>
      </c>
      <c r="I259" s="1">
        <v>96.0</v>
      </c>
      <c r="J259" s="1">
        <v>49.0</v>
      </c>
      <c r="K259" s="1">
        <v>66.0</v>
      </c>
      <c r="L259" s="1">
        <v>342.0</v>
      </c>
      <c r="M259" s="1">
        <v>68.4</v>
      </c>
      <c r="N259" s="1">
        <v>100.0</v>
      </c>
      <c r="O259" s="1" t="s">
        <v>21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469</v>
      </c>
      <c r="B260" s="1" t="s">
        <v>299</v>
      </c>
      <c r="C260" s="1" t="s">
        <v>17</v>
      </c>
      <c r="D260" s="1" t="s">
        <v>54</v>
      </c>
      <c r="E260" s="1" t="s">
        <v>26</v>
      </c>
      <c r="F260" s="1" t="s">
        <v>41</v>
      </c>
      <c r="G260" s="1">
        <v>83.0</v>
      </c>
      <c r="H260" s="1">
        <v>76.0</v>
      </c>
      <c r="I260" s="1">
        <v>92.0</v>
      </c>
      <c r="J260" s="1">
        <v>54.0</v>
      </c>
      <c r="K260" s="1">
        <v>56.0</v>
      </c>
      <c r="L260" s="1">
        <v>361.0</v>
      </c>
      <c r="M260" s="1">
        <v>72.2</v>
      </c>
      <c r="N260" s="1">
        <v>94.0</v>
      </c>
      <c r="O260" s="1" t="s">
        <v>21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470</v>
      </c>
      <c r="B261" s="1" t="s">
        <v>471</v>
      </c>
      <c r="C261" s="1" t="s">
        <v>17</v>
      </c>
      <c r="D261" s="1" t="s">
        <v>40</v>
      </c>
      <c r="E261" s="1" t="s">
        <v>47</v>
      </c>
      <c r="F261" s="1" t="s">
        <v>37</v>
      </c>
      <c r="G261" s="1">
        <v>59.0</v>
      </c>
      <c r="H261" s="1">
        <v>69.0</v>
      </c>
      <c r="I261" s="1">
        <v>44.0</v>
      </c>
      <c r="J261" s="1">
        <v>81.0</v>
      </c>
      <c r="K261" s="1">
        <v>89.0</v>
      </c>
      <c r="L261" s="1">
        <v>342.0</v>
      </c>
      <c r="M261" s="1">
        <v>68.4</v>
      </c>
      <c r="N261" s="1">
        <v>69.0</v>
      </c>
      <c r="O261" s="1" t="s">
        <v>21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472</v>
      </c>
      <c r="B262" s="1" t="s">
        <v>390</v>
      </c>
      <c r="C262" s="1" t="s">
        <v>24</v>
      </c>
      <c r="D262" s="1" t="s">
        <v>30</v>
      </c>
      <c r="E262" s="1" t="s">
        <v>26</v>
      </c>
      <c r="F262" s="1" t="s">
        <v>77</v>
      </c>
      <c r="G262" s="1">
        <v>73.0</v>
      </c>
      <c r="H262" s="1">
        <v>40.0</v>
      </c>
      <c r="I262" s="1">
        <v>66.0</v>
      </c>
      <c r="J262" s="1">
        <v>73.0</v>
      </c>
      <c r="K262" s="1">
        <v>55.0</v>
      </c>
      <c r="L262" s="1">
        <v>307.0</v>
      </c>
      <c r="M262" s="1">
        <v>61.4</v>
      </c>
      <c r="N262" s="1">
        <v>92.0</v>
      </c>
      <c r="O262" s="1" t="s">
        <v>21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473</v>
      </c>
      <c r="B263" s="1" t="s">
        <v>89</v>
      </c>
      <c r="C263" s="1" t="s">
        <v>17</v>
      </c>
      <c r="D263" s="1" t="s">
        <v>54</v>
      </c>
      <c r="E263" s="1" t="s">
        <v>47</v>
      </c>
      <c r="F263" s="1" t="s">
        <v>62</v>
      </c>
      <c r="G263" s="1">
        <v>73.0</v>
      </c>
      <c r="H263" s="1">
        <v>85.0</v>
      </c>
      <c r="I263" s="1">
        <v>53.0</v>
      </c>
      <c r="J263" s="1">
        <v>94.0</v>
      </c>
      <c r="K263" s="1">
        <v>66.0</v>
      </c>
      <c r="L263" s="1">
        <v>371.0</v>
      </c>
      <c r="M263" s="1">
        <v>74.2</v>
      </c>
      <c r="N263" s="1">
        <v>85.0</v>
      </c>
      <c r="O263" s="1" t="s">
        <v>21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474</v>
      </c>
      <c r="B264" s="1" t="s">
        <v>475</v>
      </c>
      <c r="C264" s="1" t="s">
        <v>17</v>
      </c>
      <c r="D264" s="1" t="s">
        <v>54</v>
      </c>
      <c r="E264" s="1" t="s">
        <v>47</v>
      </c>
      <c r="F264" s="1" t="s">
        <v>41</v>
      </c>
      <c r="G264" s="1">
        <v>78.0</v>
      </c>
      <c r="H264" s="1">
        <v>73.0</v>
      </c>
      <c r="I264" s="1">
        <v>47.0</v>
      </c>
      <c r="J264" s="1">
        <v>62.0</v>
      </c>
      <c r="K264" s="1">
        <v>78.0</v>
      </c>
      <c r="L264" s="1">
        <v>338.0</v>
      </c>
      <c r="M264" s="1">
        <v>67.6</v>
      </c>
      <c r="N264" s="1">
        <v>83.0</v>
      </c>
      <c r="O264" s="1" t="s">
        <v>21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476</v>
      </c>
      <c r="B265" s="1" t="s">
        <v>107</v>
      </c>
      <c r="C265" s="1" t="s">
        <v>17</v>
      </c>
      <c r="D265" s="1" t="s">
        <v>25</v>
      </c>
      <c r="E265" s="1" t="s">
        <v>26</v>
      </c>
      <c r="F265" s="1" t="s">
        <v>20</v>
      </c>
      <c r="G265" s="1">
        <v>100.0</v>
      </c>
      <c r="H265" s="1">
        <v>95.0</v>
      </c>
      <c r="I265" s="1">
        <v>90.0</v>
      </c>
      <c r="J265" s="1">
        <v>49.0</v>
      </c>
      <c r="K265" s="1">
        <v>50.0</v>
      </c>
      <c r="L265" s="1">
        <v>384.0</v>
      </c>
      <c r="M265" s="1">
        <v>76.8</v>
      </c>
      <c r="N265" s="1">
        <v>70.0</v>
      </c>
      <c r="O265" s="1" t="s">
        <v>21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477</v>
      </c>
      <c r="B266" s="1" t="s">
        <v>351</v>
      </c>
      <c r="C266" s="1" t="s">
        <v>17</v>
      </c>
      <c r="D266" s="1" t="s">
        <v>25</v>
      </c>
      <c r="E266" s="1" t="s">
        <v>26</v>
      </c>
      <c r="F266" s="1" t="s">
        <v>27</v>
      </c>
      <c r="G266" s="1">
        <v>74.0</v>
      </c>
      <c r="H266" s="1">
        <v>81.0</v>
      </c>
      <c r="I266" s="1">
        <v>79.0</v>
      </c>
      <c r="J266" s="1">
        <v>88.0</v>
      </c>
      <c r="K266" s="1">
        <v>82.0</v>
      </c>
      <c r="L266" s="1">
        <v>404.0</v>
      </c>
      <c r="M266" s="1">
        <v>80.8</v>
      </c>
      <c r="N266" s="1">
        <v>78.0</v>
      </c>
      <c r="O266" s="1" t="s">
        <v>21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478</v>
      </c>
      <c r="B267" s="1" t="s">
        <v>324</v>
      </c>
      <c r="C267" s="1" t="s">
        <v>17</v>
      </c>
      <c r="D267" s="1" t="s">
        <v>40</v>
      </c>
      <c r="E267" s="1" t="s">
        <v>19</v>
      </c>
      <c r="F267" s="1" t="s">
        <v>27</v>
      </c>
      <c r="G267" s="1">
        <v>46.0</v>
      </c>
      <c r="H267" s="1">
        <v>71.0</v>
      </c>
      <c r="I267" s="1">
        <v>71.0</v>
      </c>
      <c r="J267" s="1">
        <v>84.0</v>
      </c>
      <c r="K267" s="1">
        <v>87.0</v>
      </c>
      <c r="L267" s="1">
        <v>359.0</v>
      </c>
      <c r="M267" s="1">
        <v>71.8</v>
      </c>
      <c r="N267" s="1">
        <v>84.0</v>
      </c>
      <c r="O267" s="1" t="s">
        <v>21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479</v>
      </c>
      <c r="B268" s="1" t="s">
        <v>326</v>
      </c>
      <c r="C268" s="1" t="s">
        <v>17</v>
      </c>
      <c r="D268" s="1" t="s">
        <v>25</v>
      </c>
      <c r="E268" s="1" t="s">
        <v>47</v>
      </c>
      <c r="F268" s="1" t="s">
        <v>27</v>
      </c>
      <c r="G268" s="1">
        <v>40.0</v>
      </c>
      <c r="H268" s="1">
        <v>45.0</v>
      </c>
      <c r="I268" s="1">
        <v>74.0</v>
      </c>
      <c r="J268" s="1">
        <v>98.0</v>
      </c>
      <c r="K268" s="1">
        <v>55.0</v>
      </c>
      <c r="L268" s="1">
        <v>312.0</v>
      </c>
      <c r="M268" s="1">
        <v>62.4</v>
      </c>
      <c r="N268" s="1">
        <v>95.0</v>
      </c>
      <c r="O268" s="1" t="s">
        <v>21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480</v>
      </c>
      <c r="B269" s="1" t="s">
        <v>408</v>
      </c>
      <c r="C269" s="1" t="s">
        <v>24</v>
      </c>
      <c r="D269" s="1" t="s">
        <v>25</v>
      </c>
      <c r="E269" s="1" t="s">
        <v>26</v>
      </c>
      <c r="F269" s="1" t="s">
        <v>41</v>
      </c>
      <c r="G269" s="1">
        <v>71.0</v>
      </c>
      <c r="H269" s="1">
        <v>55.0</v>
      </c>
      <c r="I269" s="1">
        <v>89.0</v>
      </c>
      <c r="J269" s="1">
        <v>54.0</v>
      </c>
      <c r="K269" s="1">
        <v>70.0</v>
      </c>
      <c r="L269" s="1">
        <v>339.0</v>
      </c>
      <c r="M269" s="1">
        <v>67.8</v>
      </c>
      <c r="N269" s="1">
        <v>92.0</v>
      </c>
      <c r="O269" s="1" t="s">
        <v>21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481</v>
      </c>
      <c r="B270" s="1" t="s">
        <v>333</v>
      </c>
      <c r="C270" s="1" t="s">
        <v>24</v>
      </c>
      <c r="D270" s="1" t="s">
        <v>18</v>
      </c>
      <c r="E270" s="1" t="s">
        <v>47</v>
      </c>
      <c r="F270" s="1" t="s">
        <v>20</v>
      </c>
      <c r="G270" s="1">
        <v>91.0</v>
      </c>
      <c r="H270" s="1">
        <v>98.0</v>
      </c>
      <c r="I270" s="1">
        <v>55.0</v>
      </c>
      <c r="J270" s="1">
        <v>70.0</v>
      </c>
      <c r="K270" s="1">
        <v>87.0</v>
      </c>
      <c r="L270" s="1">
        <v>401.0</v>
      </c>
      <c r="M270" s="1">
        <v>80.2</v>
      </c>
      <c r="N270" s="1">
        <v>62.0</v>
      </c>
      <c r="O270" s="1" t="s">
        <v>21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482</v>
      </c>
      <c r="B271" s="1" t="s">
        <v>131</v>
      </c>
      <c r="C271" s="1" t="s">
        <v>24</v>
      </c>
      <c r="D271" s="1" t="s">
        <v>25</v>
      </c>
      <c r="E271" s="1" t="s">
        <v>19</v>
      </c>
      <c r="F271" s="1" t="s">
        <v>20</v>
      </c>
      <c r="G271" s="1">
        <v>89.0</v>
      </c>
      <c r="H271" s="1">
        <v>62.0</v>
      </c>
      <c r="I271" s="1">
        <v>46.0</v>
      </c>
      <c r="J271" s="1">
        <v>50.0</v>
      </c>
      <c r="K271" s="1">
        <v>52.0</v>
      </c>
      <c r="L271" s="1">
        <v>299.0</v>
      </c>
      <c r="M271" s="1">
        <v>59.8</v>
      </c>
      <c r="N271" s="1">
        <v>77.0</v>
      </c>
      <c r="O271" s="1" t="s">
        <v>21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483</v>
      </c>
      <c r="B272" s="1" t="s">
        <v>107</v>
      </c>
      <c r="C272" s="1" t="s">
        <v>17</v>
      </c>
      <c r="D272" s="1" t="s">
        <v>18</v>
      </c>
      <c r="E272" s="1" t="s">
        <v>47</v>
      </c>
      <c r="F272" s="1" t="s">
        <v>55</v>
      </c>
      <c r="G272" s="1">
        <v>100.0</v>
      </c>
      <c r="H272" s="1">
        <v>45.0</v>
      </c>
      <c r="I272" s="1">
        <v>81.0</v>
      </c>
      <c r="J272" s="1">
        <v>98.0</v>
      </c>
      <c r="K272" s="1">
        <v>69.0</v>
      </c>
      <c r="L272" s="1">
        <v>393.0</v>
      </c>
      <c r="M272" s="1">
        <v>78.6</v>
      </c>
      <c r="N272" s="1">
        <v>84.0</v>
      </c>
      <c r="O272" s="1" t="s">
        <v>21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484</v>
      </c>
      <c r="B273" s="1" t="s">
        <v>252</v>
      </c>
      <c r="C273" s="1" t="s">
        <v>17</v>
      </c>
      <c r="D273" s="1" t="s">
        <v>18</v>
      </c>
      <c r="E273" s="1" t="s">
        <v>19</v>
      </c>
      <c r="F273" s="1" t="s">
        <v>20</v>
      </c>
      <c r="G273" s="1">
        <v>87.0</v>
      </c>
      <c r="H273" s="1">
        <v>51.0</v>
      </c>
      <c r="I273" s="1">
        <v>80.0</v>
      </c>
      <c r="J273" s="1">
        <v>63.0</v>
      </c>
      <c r="K273" s="1">
        <v>43.0</v>
      </c>
      <c r="L273" s="1">
        <v>324.0</v>
      </c>
      <c r="M273" s="1">
        <v>64.8</v>
      </c>
      <c r="N273" s="1">
        <v>84.0</v>
      </c>
      <c r="O273" s="1" t="s">
        <v>21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485</v>
      </c>
      <c r="B274" s="1" t="s">
        <v>388</v>
      </c>
      <c r="C274" s="1" t="s">
        <v>24</v>
      </c>
      <c r="D274" s="1" t="s">
        <v>18</v>
      </c>
      <c r="E274" s="1" t="s">
        <v>26</v>
      </c>
      <c r="F274" s="1" t="s">
        <v>41</v>
      </c>
      <c r="G274" s="1">
        <v>96.0</v>
      </c>
      <c r="H274" s="1">
        <v>63.0</v>
      </c>
      <c r="I274" s="1">
        <v>76.0</v>
      </c>
      <c r="J274" s="1">
        <v>91.0</v>
      </c>
      <c r="K274" s="1">
        <v>42.0</v>
      </c>
      <c r="L274" s="1">
        <v>368.0</v>
      </c>
      <c r="M274" s="1">
        <v>73.6</v>
      </c>
      <c r="N274" s="1">
        <v>87.0</v>
      </c>
      <c r="O274" s="1" t="s">
        <v>21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486</v>
      </c>
      <c r="B275" s="1" t="s">
        <v>137</v>
      </c>
      <c r="C275" s="1" t="s">
        <v>17</v>
      </c>
      <c r="D275" s="1" t="s">
        <v>54</v>
      </c>
      <c r="E275" s="1" t="s">
        <v>47</v>
      </c>
      <c r="F275" s="1" t="s">
        <v>41</v>
      </c>
      <c r="G275" s="1">
        <v>96.0</v>
      </c>
      <c r="H275" s="1">
        <v>78.0</v>
      </c>
      <c r="I275" s="1">
        <v>66.0</v>
      </c>
      <c r="J275" s="1">
        <v>59.0</v>
      </c>
      <c r="K275" s="1">
        <v>46.0</v>
      </c>
      <c r="L275" s="1">
        <v>345.0</v>
      </c>
      <c r="M275" s="1">
        <v>69.0</v>
      </c>
      <c r="N275" s="1">
        <v>71.0</v>
      </c>
      <c r="O275" s="1" t="s">
        <v>21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487</v>
      </c>
      <c r="B276" s="1" t="s">
        <v>488</v>
      </c>
      <c r="C276" s="1" t="s">
        <v>24</v>
      </c>
      <c r="D276" s="1" t="s">
        <v>54</v>
      </c>
      <c r="E276" s="1" t="s">
        <v>47</v>
      </c>
      <c r="F276" s="1" t="s">
        <v>55</v>
      </c>
      <c r="G276" s="1">
        <v>49.0</v>
      </c>
      <c r="H276" s="1">
        <v>84.0</v>
      </c>
      <c r="I276" s="1">
        <v>70.0</v>
      </c>
      <c r="J276" s="1">
        <v>62.0</v>
      </c>
      <c r="K276" s="1">
        <v>96.0</v>
      </c>
      <c r="L276" s="1">
        <v>361.0</v>
      </c>
      <c r="M276" s="1">
        <v>72.2</v>
      </c>
      <c r="N276" s="1">
        <v>75.0</v>
      </c>
      <c r="O276" s="1" t="s">
        <v>21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489</v>
      </c>
      <c r="B277" s="1" t="s">
        <v>109</v>
      </c>
      <c r="C277" s="1" t="s">
        <v>17</v>
      </c>
      <c r="D277" s="1" t="s">
        <v>30</v>
      </c>
      <c r="E277" s="1" t="s">
        <v>47</v>
      </c>
      <c r="F277" s="1" t="s">
        <v>55</v>
      </c>
      <c r="G277" s="1">
        <v>85.0</v>
      </c>
      <c r="H277" s="1">
        <v>93.0</v>
      </c>
      <c r="I277" s="1">
        <v>51.0</v>
      </c>
      <c r="J277" s="1">
        <v>48.0</v>
      </c>
      <c r="K277" s="1">
        <v>51.0</v>
      </c>
      <c r="L277" s="1">
        <v>328.0</v>
      </c>
      <c r="M277" s="1">
        <v>65.6</v>
      </c>
      <c r="N277" s="1">
        <v>91.0</v>
      </c>
      <c r="O277" s="1" t="s">
        <v>21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490</v>
      </c>
      <c r="B278" s="1" t="s">
        <v>147</v>
      </c>
      <c r="C278" s="1" t="s">
        <v>24</v>
      </c>
      <c r="D278" s="1" t="s">
        <v>30</v>
      </c>
      <c r="E278" s="1" t="s">
        <v>19</v>
      </c>
      <c r="F278" s="1" t="s">
        <v>41</v>
      </c>
      <c r="G278" s="1">
        <v>85.0</v>
      </c>
      <c r="H278" s="1">
        <v>46.0</v>
      </c>
      <c r="I278" s="1">
        <v>72.0</v>
      </c>
      <c r="J278" s="1">
        <v>53.0</v>
      </c>
      <c r="K278" s="1">
        <v>64.0</v>
      </c>
      <c r="L278" s="1">
        <v>320.0</v>
      </c>
      <c r="M278" s="1">
        <v>64.0</v>
      </c>
      <c r="N278" s="1">
        <v>64.0</v>
      </c>
      <c r="O278" s="1" t="s">
        <v>21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491</v>
      </c>
      <c r="B279" s="1" t="s">
        <v>318</v>
      </c>
      <c r="C279" s="1" t="s">
        <v>17</v>
      </c>
      <c r="D279" s="1" t="s">
        <v>25</v>
      </c>
      <c r="E279" s="1" t="s">
        <v>19</v>
      </c>
      <c r="F279" s="1" t="s">
        <v>27</v>
      </c>
      <c r="G279" s="1">
        <v>78.0</v>
      </c>
      <c r="H279" s="1">
        <v>64.0</v>
      </c>
      <c r="I279" s="1">
        <v>59.0</v>
      </c>
      <c r="J279" s="1">
        <v>87.0</v>
      </c>
      <c r="K279" s="1">
        <v>94.0</v>
      </c>
      <c r="L279" s="1">
        <v>382.0</v>
      </c>
      <c r="M279" s="1">
        <v>76.4</v>
      </c>
      <c r="N279" s="1">
        <v>95.0</v>
      </c>
      <c r="O279" s="1" t="s">
        <v>21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492</v>
      </c>
      <c r="B280" s="1" t="s">
        <v>29</v>
      </c>
      <c r="C280" s="1" t="s">
        <v>24</v>
      </c>
      <c r="D280" s="1" t="s">
        <v>30</v>
      </c>
      <c r="E280" s="1" t="s">
        <v>26</v>
      </c>
      <c r="F280" s="1" t="s">
        <v>55</v>
      </c>
      <c r="G280" s="1">
        <v>99.0</v>
      </c>
      <c r="H280" s="1">
        <v>100.0</v>
      </c>
      <c r="I280" s="1">
        <v>67.0</v>
      </c>
      <c r="J280" s="1">
        <v>75.0</v>
      </c>
      <c r="K280" s="1">
        <v>43.0</v>
      </c>
      <c r="L280" s="1">
        <v>384.0</v>
      </c>
      <c r="M280" s="1">
        <v>76.8</v>
      </c>
      <c r="N280" s="1">
        <v>91.0</v>
      </c>
      <c r="O280" s="1" t="s">
        <v>21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493</v>
      </c>
      <c r="B281" s="1" t="s">
        <v>402</v>
      </c>
      <c r="C281" s="1" t="s">
        <v>24</v>
      </c>
      <c r="D281" s="1" t="s">
        <v>54</v>
      </c>
      <c r="E281" s="1" t="s">
        <v>47</v>
      </c>
      <c r="F281" s="1" t="s">
        <v>62</v>
      </c>
      <c r="G281" s="1">
        <v>42.0</v>
      </c>
      <c r="H281" s="1">
        <v>67.0</v>
      </c>
      <c r="I281" s="1">
        <v>92.0</v>
      </c>
      <c r="J281" s="1">
        <v>53.0</v>
      </c>
      <c r="K281" s="1">
        <v>55.0</v>
      </c>
      <c r="L281" s="1">
        <v>309.0</v>
      </c>
      <c r="M281" s="1">
        <v>61.8</v>
      </c>
      <c r="N281" s="1">
        <v>100.0</v>
      </c>
      <c r="O281" s="1" t="s">
        <v>21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494</v>
      </c>
      <c r="B282" s="1" t="s">
        <v>495</v>
      </c>
      <c r="C282" s="1" t="s">
        <v>24</v>
      </c>
      <c r="D282" s="1" t="s">
        <v>40</v>
      </c>
      <c r="E282" s="1" t="s">
        <v>19</v>
      </c>
      <c r="F282" s="1" t="s">
        <v>44</v>
      </c>
      <c r="G282" s="1">
        <v>94.0</v>
      </c>
      <c r="H282" s="1">
        <v>49.0</v>
      </c>
      <c r="I282" s="1">
        <v>50.0</v>
      </c>
      <c r="J282" s="1">
        <v>98.0</v>
      </c>
      <c r="K282" s="1">
        <v>47.0</v>
      </c>
      <c r="L282" s="1">
        <v>338.0</v>
      </c>
      <c r="M282" s="1">
        <v>67.6</v>
      </c>
      <c r="N282" s="1">
        <v>91.0</v>
      </c>
      <c r="O282" s="1" t="s">
        <v>21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496</v>
      </c>
      <c r="B283" s="1" t="s">
        <v>497</v>
      </c>
      <c r="C283" s="1" t="s">
        <v>17</v>
      </c>
      <c r="D283" s="1" t="s">
        <v>18</v>
      </c>
      <c r="E283" s="1" t="s">
        <v>19</v>
      </c>
      <c r="F283" s="1" t="s">
        <v>41</v>
      </c>
      <c r="G283" s="1">
        <v>53.0</v>
      </c>
      <c r="H283" s="1">
        <v>86.0</v>
      </c>
      <c r="I283" s="1">
        <v>84.0</v>
      </c>
      <c r="J283" s="1">
        <v>54.0</v>
      </c>
      <c r="K283" s="1">
        <v>73.0</v>
      </c>
      <c r="L283" s="1">
        <v>350.0</v>
      </c>
      <c r="M283" s="1">
        <v>70.0</v>
      </c>
      <c r="N283" s="1">
        <v>72.0</v>
      </c>
      <c r="O283" s="1" t="s">
        <v>21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498</v>
      </c>
      <c r="B284" s="1" t="s">
        <v>427</v>
      </c>
      <c r="C284" s="1" t="s">
        <v>24</v>
      </c>
      <c r="D284" s="1" t="s">
        <v>40</v>
      </c>
      <c r="E284" s="1" t="s">
        <v>47</v>
      </c>
      <c r="F284" s="1" t="s">
        <v>44</v>
      </c>
      <c r="G284" s="1">
        <v>64.0</v>
      </c>
      <c r="H284" s="1">
        <v>69.0</v>
      </c>
      <c r="I284" s="1">
        <v>47.0</v>
      </c>
      <c r="J284" s="1">
        <v>55.0</v>
      </c>
      <c r="K284" s="1">
        <v>56.0</v>
      </c>
      <c r="L284" s="1">
        <v>291.0</v>
      </c>
      <c r="M284" s="1">
        <v>58.2</v>
      </c>
      <c r="N284" s="1">
        <v>96.0</v>
      </c>
      <c r="O284" s="1" t="s">
        <v>21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499</v>
      </c>
      <c r="B285" s="1" t="s">
        <v>93</v>
      </c>
      <c r="C285" s="1" t="s">
        <v>24</v>
      </c>
      <c r="D285" s="1" t="s">
        <v>30</v>
      </c>
      <c r="E285" s="1" t="s">
        <v>47</v>
      </c>
      <c r="F285" s="1" t="s">
        <v>27</v>
      </c>
      <c r="G285" s="1">
        <v>100.0</v>
      </c>
      <c r="H285" s="1">
        <v>51.0</v>
      </c>
      <c r="I285" s="1">
        <v>70.0</v>
      </c>
      <c r="J285" s="1">
        <v>93.0</v>
      </c>
      <c r="K285" s="1">
        <v>56.0</v>
      </c>
      <c r="L285" s="1">
        <v>370.0</v>
      </c>
      <c r="M285" s="1">
        <v>74.0</v>
      </c>
      <c r="N285" s="1">
        <v>77.0</v>
      </c>
      <c r="O285" s="1" t="s">
        <v>21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500</v>
      </c>
      <c r="B286" s="1" t="s">
        <v>233</v>
      </c>
      <c r="C286" s="1" t="s">
        <v>24</v>
      </c>
      <c r="D286" s="1" t="s">
        <v>30</v>
      </c>
      <c r="E286" s="1" t="s">
        <v>19</v>
      </c>
      <c r="F286" s="1" t="s">
        <v>55</v>
      </c>
      <c r="G286" s="1">
        <v>76.0</v>
      </c>
      <c r="H286" s="1">
        <v>83.0</v>
      </c>
      <c r="I286" s="1">
        <v>43.0</v>
      </c>
      <c r="J286" s="1">
        <v>43.0</v>
      </c>
      <c r="K286" s="1">
        <v>79.0</v>
      </c>
      <c r="L286" s="1">
        <v>324.0</v>
      </c>
      <c r="M286" s="1">
        <v>64.8</v>
      </c>
      <c r="N286" s="1">
        <v>90.0</v>
      </c>
      <c r="O286" s="1" t="s">
        <v>21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501</v>
      </c>
      <c r="B287" s="1" t="s">
        <v>502</v>
      </c>
      <c r="C287" s="1" t="s">
        <v>24</v>
      </c>
      <c r="D287" s="1" t="s">
        <v>54</v>
      </c>
      <c r="E287" s="1" t="s">
        <v>26</v>
      </c>
      <c r="F287" s="1" t="s">
        <v>44</v>
      </c>
      <c r="G287" s="1">
        <v>52.0</v>
      </c>
      <c r="H287" s="1">
        <v>93.0</v>
      </c>
      <c r="I287" s="1">
        <v>56.0</v>
      </c>
      <c r="J287" s="1">
        <v>70.0</v>
      </c>
      <c r="K287" s="1">
        <v>84.0</v>
      </c>
      <c r="L287" s="1">
        <v>355.0</v>
      </c>
      <c r="M287" s="1">
        <v>71.0</v>
      </c>
      <c r="N287" s="1">
        <v>94.0</v>
      </c>
      <c r="O287" s="1" t="s">
        <v>21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503</v>
      </c>
      <c r="B288" s="1" t="s">
        <v>261</v>
      </c>
      <c r="C288" s="1" t="s">
        <v>17</v>
      </c>
      <c r="D288" s="1" t="s">
        <v>18</v>
      </c>
      <c r="E288" s="1" t="s">
        <v>19</v>
      </c>
      <c r="F288" s="1" t="s">
        <v>62</v>
      </c>
      <c r="G288" s="1">
        <v>48.0</v>
      </c>
      <c r="H288" s="1">
        <v>99.0</v>
      </c>
      <c r="I288" s="1">
        <v>78.0</v>
      </c>
      <c r="J288" s="1">
        <v>83.0</v>
      </c>
      <c r="K288" s="1">
        <v>52.0</v>
      </c>
      <c r="L288" s="1">
        <v>360.0</v>
      </c>
      <c r="M288" s="1">
        <v>72.0</v>
      </c>
      <c r="N288" s="1">
        <v>72.0</v>
      </c>
      <c r="O288" s="1" t="s">
        <v>21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504</v>
      </c>
      <c r="B289" s="1" t="s">
        <v>505</v>
      </c>
      <c r="C289" s="1" t="s">
        <v>17</v>
      </c>
      <c r="D289" s="1" t="s">
        <v>30</v>
      </c>
      <c r="E289" s="1" t="s">
        <v>47</v>
      </c>
      <c r="F289" s="1" t="s">
        <v>55</v>
      </c>
      <c r="G289" s="1">
        <v>48.0</v>
      </c>
      <c r="H289" s="1">
        <v>96.0</v>
      </c>
      <c r="I289" s="1">
        <v>77.0</v>
      </c>
      <c r="J289" s="1">
        <v>91.0</v>
      </c>
      <c r="K289" s="1">
        <v>93.0</v>
      </c>
      <c r="L289" s="1">
        <v>405.0</v>
      </c>
      <c r="M289" s="1">
        <v>81.0</v>
      </c>
      <c r="N289" s="1">
        <v>68.0</v>
      </c>
      <c r="O289" s="1" t="s">
        <v>21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506</v>
      </c>
      <c r="B290" s="1" t="s">
        <v>64</v>
      </c>
      <c r="C290" s="1" t="s">
        <v>17</v>
      </c>
      <c r="D290" s="1" t="s">
        <v>40</v>
      </c>
      <c r="E290" s="1" t="s">
        <v>26</v>
      </c>
      <c r="F290" s="1" t="s">
        <v>44</v>
      </c>
      <c r="G290" s="1">
        <v>73.0</v>
      </c>
      <c r="H290" s="1">
        <v>63.0</v>
      </c>
      <c r="I290" s="1">
        <v>62.0</v>
      </c>
      <c r="J290" s="1">
        <v>54.0</v>
      </c>
      <c r="K290" s="1">
        <v>93.0</v>
      </c>
      <c r="L290" s="1">
        <v>345.0</v>
      </c>
      <c r="M290" s="1">
        <v>69.0</v>
      </c>
      <c r="N290" s="1">
        <v>94.0</v>
      </c>
      <c r="O290" s="1" t="s">
        <v>21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507</v>
      </c>
      <c r="B291" s="1" t="s">
        <v>508</v>
      </c>
      <c r="C291" s="1" t="s">
        <v>17</v>
      </c>
      <c r="D291" s="1" t="s">
        <v>25</v>
      </c>
      <c r="E291" s="1" t="s">
        <v>26</v>
      </c>
      <c r="F291" s="1" t="s">
        <v>41</v>
      </c>
      <c r="G291" s="1">
        <v>94.0</v>
      </c>
      <c r="H291" s="1">
        <v>77.0</v>
      </c>
      <c r="I291" s="1">
        <v>72.0</v>
      </c>
      <c r="J291" s="1">
        <v>59.0</v>
      </c>
      <c r="K291" s="1">
        <v>61.0</v>
      </c>
      <c r="L291" s="1">
        <v>363.0</v>
      </c>
      <c r="M291" s="1">
        <v>72.6</v>
      </c>
      <c r="N291" s="1">
        <v>93.0</v>
      </c>
      <c r="O291" s="1" t="s">
        <v>21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509</v>
      </c>
      <c r="B292" s="1" t="s">
        <v>279</v>
      </c>
      <c r="C292" s="1" t="s">
        <v>17</v>
      </c>
      <c r="D292" s="1" t="s">
        <v>54</v>
      </c>
      <c r="E292" s="1" t="s">
        <v>26</v>
      </c>
      <c r="F292" s="1" t="s">
        <v>77</v>
      </c>
      <c r="G292" s="1">
        <v>71.0</v>
      </c>
      <c r="H292" s="1">
        <v>42.0</v>
      </c>
      <c r="I292" s="1">
        <v>67.0</v>
      </c>
      <c r="J292" s="1">
        <v>64.0</v>
      </c>
      <c r="K292" s="1">
        <v>58.0</v>
      </c>
      <c r="L292" s="1">
        <v>302.0</v>
      </c>
      <c r="M292" s="1">
        <v>60.4</v>
      </c>
      <c r="N292" s="1">
        <v>79.0</v>
      </c>
      <c r="O292" s="1" t="s">
        <v>21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510</v>
      </c>
      <c r="B293" s="1" t="s">
        <v>181</v>
      </c>
      <c r="C293" s="1" t="s">
        <v>24</v>
      </c>
      <c r="D293" s="1" t="s">
        <v>54</v>
      </c>
      <c r="E293" s="1" t="s">
        <v>19</v>
      </c>
      <c r="F293" s="1" t="s">
        <v>62</v>
      </c>
      <c r="G293" s="1">
        <v>42.0</v>
      </c>
      <c r="H293" s="1">
        <v>50.0</v>
      </c>
      <c r="I293" s="1">
        <v>81.0</v>
      </c>
      <c r="J293" s="1">
        <v>68.0</v>
      </c>
      <c r="K293" s="1">
        <v>41.0</v>
      </c>
      <c r="L293" s="1">
        <v>282.0</v>
      </c>
      <c r="M293" s="1">
        <v>56.4</v>
      </c>
      <c r="N293" s="1">
        <v>85.0</v>
      </c>
      <c r="O293" s="1" t="s">
        <v>21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511</v>
      </c>
      <c r="B294" s="1" t="s">
        <v>447</v>
      </c>
      <c r="C294" s="1" t="s">
        <v>24</v>
      </c>
      <c r="D294" s="1" t="s">
        <v>54</v>
      </c>
      <c r="E294" s="1" t="s">
        <v>26</v>
      </c>
      <c r="F294" s="1" t="s">
        <v>55</v>
      </c>
      <c r="G294" s="1">
        <v>76.0</v>
      </c>
      <c r="H294" s="1">
        <v>42.0</v>
      </c>
      <c r="I294" s="1">
        <v>41.0</v>
      </c>
      <c r="J294" s="1">
        <v>62.0</v>
      </c>
      <c r="K294" s="1">
        <v>93.0</v>
      </c>
      <c r="L294" s="1">
        <v>314.0</v>
      </c>
      <c r="M294" s="1">
        <v>62.8</v>
      </c>
      <c r="N294" s="1">
        <v>91.0</v>
      </c>
      <c r="O294" s="1" t="s">
        <v>21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512</v>
      </c>
      <c r="B295" s="1" t="s">
        <v>163</v>
      </c>
      <c r="C295" s="1" t="s">
        <v>24</v>
      </c>
      <c r="D295" s="1" t="s">
        <v>18</v>
      </c>
      <c r="E295" s="1" t="s">
        <v>19</v>
      </c>
      <c r="F295" s="1" t="s">
        <v>55</v>
      </c>
      <c r="G295" s="1">
        <v>66.0</v>
      </c>
      <c r="H295" s="1">
        <v>55.0</v>
      </c>
      <c r="I295" s="1">
        <v>45.0</v>
      </c>
      <c r="J295" s="1">
        <v>91.0</v>
      </c>
      <c r="K295" s="1">
        <v>76.0</v>
      </c>
      <c r="L295" s="1">
        <v>333.0</v>
      </c>
      <c r="M295" s="1">
        <v>66.6</v>
      </c>
      <c r="N295" s="1">
        <v>79.0</v>
      </c>
      <c r="O295" s="1" t="s">
        <v>21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513</v>
      </c>
      <c r="B296" s="1" t="s">
        <v>514</v>
      </c>
      <c r="C296" s="1" t="s">
        <v>24</v>
      </c>
      <c r="D296" s="1" t="s">
        <v>25</v>
      </c>
      <c r="E296" s="1" t="s">
        <v>47</v>
      </c>
      <c r="F296" s="1" t="s">
        <v>27</v>
      </c>
      <c r="G296" s="1">
        <v>84.0</v>
      </c>
      <c r="H296" s="1">
        <v>88.0</v>
      </c>
      <c r="I296" s="1">
        <v>63.0</v>
      </c>
      <c r="J296" s="1">
        <v>95.0</v>
      </c>
      <c r="K296" s="1">
        <v>63.0</v>
      </c>
      <c r="L296" s="1">
        <v>393.0</v>
      </c>
      <c r="M296" s="1">
        <v>78.6</v>
      </c>
      <c r="N296" s="1">
        <v>100.0</v>
      </c>
      <c r="O296" s="1" t="s">
        <v>21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515</v>
      </c>
      <c r="B297" s="1" t="s">
        <v>516</v>
      </c>
      <c r="C297" s="1" t="s">
        <v>24</v>
      </c>
      <c r="D297" s="1" t="s">
        <v>54</v>
      </c>
      <c r="E297" s="1" t="s">
        <v>26</v>
      </c>
      <c r="F297" s="1" t="s">
        <v>77</v>
      </c>
      <c r="G297" s="1">
        <v>93.0</v>
      </c>
      <c r="H297" s="1">
        <v>43.0</v>
      </c>
      <c r="I297" s="1">
        <v>98.0</v>
      </c>
      <c r="J297" s="1">
        <v>59.0</v>
      </c>
      <c r="K297" s="1">
        <v>63.0</v>
      </c>
      <c r="L297" s="1">
        <v>356.0</v>
      </c>
      <c r="M297" s="1">
        <v>71.2</v>
      </c>
      <c r="N297" s="1">
        <v>98.0</v>
      </c>
      <c r="O297" s="1" t="s">
        <v>21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517</v>
      </c>
      <c r="B298" s="1" t="s">
        <v>518</v>
      </c>
      <c r="C298" s="1" t="s">
        <v>24</v>
      </c>
      <c r="D298" s="1" t="s">
        <v>54</v>
      </c>
      <c r="E298" s="1" t="s">
        <v>47</v>
      </c>
      <c r="F298" s="1" t="s">
        <v>27</v>
      </c>
      <c r="G298" s="1">
        <v>85.0</v>
      </c>
      <c r="H298" s="1">
        <v>97.0</v>
      </c>
      <c r="I298" s="1">
        <v>80.0</v>
      </c>
      <c r="J298" s="1">
        <v>75.0</v>
      </c>
      <c r="K298" s="1">
        <v>58.0</v>
      </c>
      <c r="L298" s="1">
        <v>395.0</v>
      </c>
      <c r="M298" s="1">
        <v>79.0</v>
      </c>
      <c r="N298" s="1">
        <v>96.0</v>
      </c>
      <c r="O298" s="1" t="s">
        <v>21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519</v>
      </c>
      <c r="B299" s="1" t="s">
        <v>246</v>
      </c>
      <c r="C299" s="1" t="s">
        <v>24</v>
      </c>
      <c r="D299" s="1" t="s">
        <v>30</v>
      </c>
      <c r="E299" s="1" t="s">
        <v>47</v>
      </c>
      <c r="F299" s="1" t="s">
        <v>37</v>
      </c>
      <c r="G299" s="1">
        <v>89.0</v>
      </c>
      <c r="H299" s="1">
        <v>61.0</v>
      </c>
      <c r="I299" s="1">
        <v>42.0</v>
      </c>
      <c r="J299" s="1">
        <v>74.0</v>
      </c>
      <c r="K299" s="1">
        <v>69.0</v>
      </c>
      <c r="L299" s="1">
        <v>335.0</v>
      </c>
      <c r="M299" s="1">
        <v>67.0</v>
      </c>
      <c r="N299" s="1">
        <v>77.0</v>
      </c>
      <c r="O299" s="1" t="s">
        <v>21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520</v>
      </c>
      <c r="B300" s="1" t="s">
        <v>521</v>
      </c>
      <c r="C300" s="1" t="s">
        <v>24</v>
      </c>
      <c r="D300" s="1" t="s">
        <v>25</v>
      </c>
      <c r="E300" s="1" t="s">
        <v>47</v>
      </c>
      <c r="F300" s="1" t="s">
        <v>62</v>
      </c>
      <c r="G300" s="1">
        <v>56.0</v>
      </c>
      <c r="H300" s="1">
        <v>100.0</v>
      </c>
      <c r="I300" s="1">
        <v>59.0</v>
      </c>
      <c r="J300" s="1">
        <v>56.0</v>
      </c>
      <c r="K300" s="1">
        <v>65.0</v>
      </c>
      <c r="L300" s="1">
        <v>336.0</v>
      </c>
      <c r="M300" s="1">
        <v>67.2</v>
      </c>
      <c r="N300" s="1">
        <v>89.0</v>
      </c>
      <c r="O300" s="1" t="s">
        <v>21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522</v>
      </c>
      <c r="B301" s="1" t="s">
        <v>523</v>
      </c>
      <c r="C301" s="1" t="s">
        <v>17</v>
      </c>
      <c r="D301" s="1" t="s">
        <v>18</v>
      </c>
      <c r="E301" s="1" t="s">
        <v>19</v>
      </c>
      <c r="F301" s="1" t="s">
        <v>27</v>
      </c>
      <c r="G301" s="1">
        <v>52.0</v>
      </c>
      <c r="H301" s="1">
        <v>96.0</v>
      </c>
      <c r="I301" s="1">
        <v>47.0</v>
      </c>
      <c r="J301" s="1">
        <v>80.0</v>
      </c>
      <c r="K301" s="1">
        <v>64.0</v>
      </c>
      <c r="L301" s="1">
        <v>339.0</v>
      </c>
      <c r="M301" s="1">
        <v>67.8</v>
      </c>
      <c r="N301" s="1">
        <v>95.0</v>
      </c>
      <c r="O301" s="1" t="s">
        <v>21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524</v>
      </c>
      <c r="B302" s="1" t="s">
        <v>256</v>
      </c>
      <c r="C302" s="1" t="s">
        <v>17</v>
      </c>
      <c r="D302" s="1" t="s">
        <v>25</v>
      </c>
      <c r="E302" s="1" t="s">
        <v>47</v>
      </c>
      <c r="F302" s="1" t="s">
        <v>20</v>
      </c>
      <c r="G302" s="1">
        <v>55.0</v>
      </c>
      <c r="H302" s="1">
        <v>83.0</v>
      </c>
      <c r="I302" s="1">
        <v>80.0</v>
      </c>
      <c r="J302" s="1">
        <v>64.0</v>
      </c>
      <c r="K302" s="1">
        <v>64.0</v>
      </c>
      <c r="L302" s="1">
        <v>346.0</v>
      </c>
      <c r="M302" s="1">
        <v>69.2</v>
      </c>
      <c r="N302" s="1">
        <v>60.0</v>
      </c>
      <c r="O302" s="1" t="s">
        <v>21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525</v>
      </c>
      <c r="B303" s="1" t="s">
        <v>526</v>
      </c>
      <c r="C303" s="1" t="s">
        <v>24</v>
      </c>
      <c r="D303" s="1" t="s">
        <v>18</v>
      </c>
      <c r="E303" s="1" t="s">
        <v>26</v>
      </c>
      <c r="F303" s="1" t="s">
        <v>55</v>
      </c>
      <c r="G303" s="1">
        <v>97.0</v>
      </c>
      <c r="H303" s="1">
        <v>52.0</v>
      </c>
      <c r="I303" s="1">
        <v>98.0</v>
      </c>
      <c r="J303" s="1">
        <v>78.0</v>
      </c>
      <c r="K303" s="1">
        <v>63.0</v>
      </c>
      <c r="L303" s="1">
        <v>388.0</v>
      </c>
      <c r="M303" s="1">
        <v>77.6</v>
      </c>
      <c r="N303" s="1">
        <v>70.0</v>
      </c>
      <c r="O303" s="1" t="s">
        <v>21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527</v>
      </c>
      <c r="B304" s="1" t="s">
        <v>390</v>
      </c>
      <c r="C304" s="1" t="s">
        <v>24</v>
      </c>
      <c r="D304" s="1" t="s">
        <v>30</v>
      </c>
      <c r="E304" s="1" t="s">
        <v>26</v>
      </c>
      <c r="F304" s="1" t="s">
        <v>44</v>
      </c>
      <c r="G304" s="1">
        <v>41.0</v>
      </c>
      <c r="H304" s="1">
        <v>69.0</v>
      </c>
      <c r="I304" s="1">
        <v>58.0</v>
      </c>
      <c r="J304" s="1">
        <v>81.0</v>
      </c>
      <c r="K304" s="1">
        <v>53.0</v>
      </c>
      <c r="L304" s="1">
        <v>302.0</v>
      </c>
      <c r="M304" s="1">
        <v>60.4</v>
      </c>
      <c r="N304" s="1">
        <v>86.0</v>
      </c>
      <c r="O304" s="1" t="s">
        <v>21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528</v>
      </c>
      <c r="B305" s="1" t="s">
        <v>340</v>
      </c>
      <c r="C305" s="1" t="s">
        <v>17</v>
      </c>
      <c r="D305" s="1" t="s">
        <v>18</v>
      </c>
      <c r="E305" s="1" t="s">
        <v>19</v>
      </c>
      <c r="F305" s="1" t="s">
        <v>55</v>
      </c>
      <c r="G305" s="1">
        <v>53.0</v>
      </c>
      <c r="H305" s="1">
        <v>90.0</v>
      </c>
      <c r="I305" s="1">
        <v>91.0</v>
      </c>
      <c r="J305" s="1">
        <v>94.0</v>
      </c>
      <c r="K305" s="1">
        <v>80.0</v>
      </c>
      <c r="L305" s="1">
        <v>408.0</v>
      </c>
      <c r="M305" s="1">
        <v>81.6</v>
      </c>
      <c r="N305" s="1">
        <v>86.0</v>
      </c>
      <c r="O305" s="1" t="s">
        <v>21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529</v>
      </c>
      <c r="B306" s="1" t="s">
        <v>530</v>
      </c>
      <c r="C306" s="1" t="s">
        <v>17</v>
      </c>
      <c r="D306" s="1" t="s">
        <v>40</v>
      </c>
      <c r="E306" s="1" t="s">
        <v>26</v>
      </c>
      <c r="F306" s="1" t="s">
        <v>55</v>
      </c>
      <c r="G306" s="1">
        <v>69.0</v>
      </c>
      <c r="H306" s="1">
        <v>78.0</v>
      </c>
      <c r="I306" s="1">
        <v>64.0</v>
      </c>
      <c r="J306" s="1">
        <v>43.0</v>
      </c>
      <c r="K306" s="1">
        <v>52.0</v>
      </c>
      <c r="L306" s="1">
        <v>306.0</v>
      </c>
      <c r="M306" s="1">
        <v>61.2</v>
      </c>
      <c r="N306" s="1">
        <v>60.0</v>
      </c>
      <c r="O306" s="1" t="s">
        <v>21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531</v>
      </c>
      <c r="B307" s="1" t="s">
        <v>372</v>
      </c>
      <c r="C307" s="1" t="s">
        <v>17</v>
      </c>
      <c r="D307" s="1" t="s">
        <v>30</v>
      </c>
      <c r="E307" s="1" t="s">
        <v>47</v>
      </c>
      <c r="F307" s="1" t="s">
        <v>62</v>
      </c>
      <c r="G307" s="1">
        <v>69.0</v>
      </c>
      <c r="H307" s="1">
        <v>61.0</v>
      </c>
      <c r="I307" s="1">
        <v>74.0</v>
      </c>
      <c r="J307" s="1">
        <v>42.0</v>
      </c>
      <c r="K307" s="1">
        <v>94.0</v>
      </c>
      <c r="L307" s="1">
        <v>340.0</v>
      </c>
      <c r="M307" s="1">
        <v>68.0</v>
      </c>
      <c r="N307" s="1">
        <v>88.0</v>
      </c>
      <c r="O307" s="1" t="s">
        <v>21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532</v>
      </c>
      <c r="B308" s="1" t="s">
        <v>156</v>
      </c>
      <c r="C308" s="1" t="s">
        <v>17</v>
      </c>
      <c r="D308" s="1" t="s">
        <v>54</v>
      </c>
      <c r="E308" s="1" t="s">
        <v>47</v>
      </c>
      <c r="F308" s="1" t="s">
        <v>77</v>
      </c>
      <c r="G308" s="1">
        <v>59.0</v>
      </c>
      <c r="H308" s="1">
        <v>63.0</v>
      </c>
      <c r="I308" s="1">
        <v>80.0</v>
      </c>
      <c r="J308" s="1">
        <v>89.0</v>
      </c>
      <c r="K308" s="1">
        <v>90.0</v>
      </c>
      <c r="L308" s="1">
        <v>381.0</v>
      </c>
      <c r="M308" s="1">
        <v>76.2</v>
      </c>
      <c r="N308" s="1">
        <v>94.0</v>
      </c>
      <c r="O308" s="1" t="s">
        <v>21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533</v>
      </c>
      <c r="B309" s="1" t="s">
        <v>534</v>
      </c>
      <c r="C309" s="1" t="s">
        <v>24</v>
      </c>
      <c r="D309" s="1" t="s">
        <v>40</v>
      </c>
      <c r="E309" s="1" t="s">
        <v>19</v>
      </c>
      <c r="F309" s="1" t="s">
        <v>55</v>
      </c>
      <c r="G309" s="1">
        <v>93.0</v>
      </c>
      <c r="H309" s="1">
        <v>84.0</v>
      </c>
      <c r="I309" s="1">
        <v>63.0</v>
      </c>
      <c r="J309" s="1">
        <v>80.0</v>
      </c>
      <c r="K309" s="1">
        <v>76.0</v>
      </c>
      <c r="L309" s="1">
        <v>396.0</v>
      </c>
      <c r="M309" s="1">
        <v>79.2</v>
      </c>
      <c r="N309" s="1">
        <v>93.0</v>
      </c>
      <c r="O309" s="1" t="s">
        <v>21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535</v>
      </c>
      <c r="B310" s="1" t="s">
        <v>83</v>
      </c>
      <c r="C310" s="1" t="s">
        <v>17</v>
      </c>
      <c r="D310" s="1" t="s">
        <v>40</v>
      </c>
      <c r="E310" s="1" t="s">
        <v>26</v>
      </c>
      <c r="F310" s="1" t="s">
        <v>77</v>
      </c>
      <c r="G310" s="1">
        <v>98.0</v>
      </c>
      <c r="H310" s="1">
        <v>44.0</v>
      </c>
      <c r="I310" s="1">
        <v>94.0</v>
      </c>
      <c r="J310" s="1">
        <v>88.0</v>
      </c>
      <c r="K310" s="1">
        <v>59.0</v>
      </c>
      <c r="L310" s="1">
        <v>383.0</v>
      </c>
      <c r="M310" s="1">
        <v>76.6</v>
      </c>
      <c r="N310" s="1">
        <v>90.0</v>
      </c>
      <c r="O310" s="1" t="s">
        <v>21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536</v>
      </c>
      <c r="B311" s="1" t="s">
        <v>537</v>
      </c>
      <c r="C311" s="1" t="s">
        <v>24</v>
      </c>
      <c r="D311" s="1" t="s">
        <v>18</v>
      </c>
      <c r="E311" s="1" t="s">
        <v>19</v>
      </c>
      <c r="F311" s="1" t="s">
        <v>20</v>
      </c>
      <c r="G311" s="1">
        <v>71.0</v>
      </c>
      <c r="H311" s="1">
        <v>97.0</v>
      </c>
      <c r="I311" s="1">
        <v>89.0</v>
      </c>
      <c r="J311" s="1">
        <v>60.0</v>
      </c>
      <c r="K311" s="1">
        <v>84.0</v>
      </c>
      <c r="L311" s="1">
        <v>401.0</v>
      </c>
      <c r="M311" s="1">
        <v>80.2</v>
      </c>
      <c r="N311" s="1">
        <v>68.0</v>
      </c>
      <c r="O311" s="1" t="s">
        <v>21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538</v>
      </c>
      <c r="B312" s="1" t="s">
        <v>539</v>
      </c>
      <c r="C312" s="1" t="s">
        <v>17</v>
      </c>
      <c r="D312" s="1" t="s">
        <v>40</v>
      </c>
      <c r="E312" s="1" t="s">
        <v>19</v>
      </c>
      <c r="F312" s="1" t="s">
        <v>37</v>
      </c>
      <c r="G312" s="1">
        <v>49.0</v>
      </c>
      <c r="H312" s="1">
        <v>43.0</v>
      </c>
      <c r="I312" s="1">
        <v>55.0</v>
      </c>
      <c r="J312" s="1">
        <v>68.0</v>
      </c>
      <c r="K312" s="1">
        <v>52.0</v>
      </c>
      <c r="L312" s="1">
        <v>267.0</v>
      </c>
      <c r="M312" s="1">
        <v>53.4</v>
      </c>
      <c r="N312" s="1">
        <v>84.0</v>
      </c>
      <c r="O312" s="1" t="s">
        <v>21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540</v>
      </c>
      <c r="B313" s="1" t="s">
        <v>495</v>
      </c>
      <c r="C313" s="1" t="s">
        <v>17</v>
      </c>
      <c r="D313" s="1" t="s">
        <v>25</v>
      </c>
      <c r="E313" s="1" t="s">
        <v>47</v>
      </c>
      <c r="F313" s="1" t="s">
        <v>27</v>
      </c>
      <c r="G313" s="1">
        <v>80.0</v>
      </c>
      <c r="H313" s="1">
        <v>100.0</v>
      </c>
      <c r="I313" s="1">
        <v>92.0</v>
      </c>
      <c r="J313" s="1">
        <v>46.0</v>
      </c>
      <c r="K313" s="1">
        <v>87.0</v>
      </c>
      <c r="L313" s="1">
        <v>405.0</v>
      </c>
      <c r="M313" s="1">
        <v>81.0</v>
      </c>
      <c r="N313" s="1">
        <v>75.0</v>
      </c>
      <c r="O313" s="1" t="s">
        <v>21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541</v>
      </c>
      <c r="B314" s="1" t="s">
        <v>270</v>
      </c>
      <c r="C314" s="1" t="s">
        <v>17</v>
      </c>
      <c r="D314" s="1" t="s">
        <v>25</v>
      </c>
      <c r="E314" s="1" t="s">
        <v>47</v>
      </c>
      <c r="F314" s="1" t="s">
        <v>77</v>
      </c>
      <c r="G314" s="1">
        <v>94.0</v>
      </c>
      <c r="H314" s="1">
        <v>67.0</v>
      </c>
      <c r="I314" s="1">
        <v>41.0</v>
      </c>
      <c r="J314" s="1">
        <v>48.0</v>
      </c>
      <c r="K314" s="1">
        <v>45.0</v>
      </c>
      <c r="L314" s="1">
        <v>295.0</v>
      </c>
      <c r="M314" s="1">
        <v>59.0</v>
      </c>
      <c r="N314" s="1">
        <v>91.0</v>
      </c>
      <c r="O314" s="1" t="s">
        <v>21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542</v>
      </c>
      <c r="B315" s="1" t="s">
        <v>471</v>
      </c>
      <c r="C315" s="1" t="s">
        <v>17</v>
      </c>
      <c r="D315" s="1" t="s">
        <v>18</v>
      </c>
      <c r="E315" s="1" t="s">
        <v>26</v>
      </c>
      <c r="F315" s="1" t="s">
        <v>44</v>
      </c>
      <c r="G315" s="1">
        <v>80.0</v>
      </c>
      <c r="H315" s="1">
        <v>96.0</v>
      </c>
      <c r="I315" s="1">
        <v>49.0</v>
      </c>
      <c r="J315" s="1">
        <v>98.0</v>
      </c>
      <c r="K315" s="1">
        <v>97.0</v>
      </c>
      <c r="L315" s="1">
        <v>420.0</v>
      </c>
      <c r="M315" s="1">
        <v>84.0</v>
      </c>
      <c r="N315" s="1">
        <v>85.0</v>
      </c>
      <c r="O315" s="1" t="s">
        <v>21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543</v>
      </c>
      <c r="B316" s="1" t="s">
        <v>206</v>
      </c>
      <c r="C316" s="1" t="s">
        <v>17</v>
      </c>
      <c r="D316" s="1" t="s">
        <v>40</v>
      </c>
      <c r="E316" s="1" t="s">
        <v>26</v>
      </c>
      <c r="F316" s="1" t="s">
        <v>41</v>
      </c>
      <c r="G316" s="1">
        <v>54.0</v>
      </c>
      <c r="H316" s="1">
        <v>60.0</v>
      </c>
      <c r="I316" s="1">
        <v>74.0</v>
      </c>
      <c r="J316" s="1">
        <v>49.0</v>
      </c>
      <c r="K316" s="1">
        <v>79.0</v>
      </c>
      <c r="L316" s="1">
        <v>316.0</v>
      </c>
      <c r="M316" s="1">
        <v>63.2</v>
      </c>
      <c r="N316" s="1">
        <v>86.0</v>
      </c>
      <c r="O316" s="1" t="s">
        <v>21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544</v>
      </c>
      <c r="B317" s="1" t="s">
        <v>545</v>
      </c>
      <c r="C317" s="1" t="s">
        <v>17</v>
      </c>
      <c r="D317" s="1" t="s">
        <v>40</v>
      </c>
      <c r="E317" s="1" t="s">
        <v>47</v>
      </c>
      <c r="F317" s="1" t="s">
        <v>55</v>
      </c>
      <c r="G317" s="1">
        <v>74.0</v>
      </c>
      <c r="H317" s="1">
        <v>76.0</v>
      </c>
      <c r="I317" s="1">
        <v>78.0</v>
      </c>
      <c r="J317" s="1">
        <v>54.0</v>
      </c>
      <c r="K317" s="1">
        <v>52.0</v>
      </c>
      <c r="L317" s="1">
        <v>334.0</v>
      </c>
      <c r="M317" s="1">
        <v>66.8</v>
      </c>
      <c r="N317" s="1">
        <v>62.0</v>
      </c>
      <c r="O317" s="1" t="s">
        <v>21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546</v>
      </c>
      <c r="B318" s="1" t="s">
        <v>178</v>
      </c>
      <c r="C318" s="1" t="s">
        <v>24</v>
      </c>
      <c r="D318" s="1" t="s">
        <v>30</v>
      </c>
      <c r="E318" s="1" t="s">
        <v>19</v>
      </c>
      <c r="F318" s="1" t="s">
        <v>44</v>
      </c>
      <c r="G318" s="1">
        <v>78.0</v>
      </c>
      <c r="H318" s="1">
        <v>65.0</v>
      </c>
      <c r="I318" s="1">
        <v>43.0</v>
      </c>
      <c r="J318" s="1">
        <v>82.0</v>
      </c>
      <c r="K318" s="1">
        <v>75.0</v>
      </c>
      <c r="L318" s="1">
        <v>343.0</v>
      </c>
      <c r="M318" s="1">
        <v>68.6</v>
      </c>
      <c r="N318" s="1">
        <v>94.0</v>
      </c>
      <c r="O318" s="1" t="s">
        <v>21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547</v>
      </c>
      <c r="B319" s="1" t="s">
        <v>548</v>
      </c>
      <c r="C319" s="1" t="s">
        <v>17</v>
      </c>
      <c r="D319" s="1" t="s">
        <v>18</v>
      </c>
      <c r="E319" s="1" t="s">
        <v>19</v>
      </c>
      <c r="F319" s="1" t="s">
        <v>20</v>
      </c>
      <c r="G319" s="1">
        <v>71.0</v>
      </c>
      <c r="H319" s="1">
        <v>71.0</v>
      </c>
      <c r="I319" s="1">
        <v>83.0</v>
      </c>
      <c r="J319" s="1">
        <v>61.0</v>
      </c>
      <c r="K319" s="1">
        <v>52.0</v>
      </c>
      <c r="L319" s="1">
        <v>338.0</v>
      </c>
      <c r="M319" s="1">
        <v>67.6</v>
      </c>
      <c r="N319" s="1">
        <v>82.0</v>
      </c>
      <c r="O319" s="1" t="s">
        <v>21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549</v>
      </c>
      <c r="B320" s="1" t="s">
        <v>550</v>
      </c>
      <c r="C320" s="1" t="s">
        <v>17</v>
      </c>
      <c r="D320" s="1" t="s">
        <v>18</v>
      </c>
      <c r="E320" s="1" t="s">
        <v>26</v>
      </c>
      <c r="F320" s="1" t="s">
        <v>20</v>
      </c>
      <c r="G320" s="1">
        <v>43.0</v>
      </c>
      <c r="H320" s="1">
        <v>91.0</v>
      </c>
      <c r="I320" s="1">
        <v>70.0</v>
      </c>
      <c r="J320" s="1">
        <v>69.0</v>
      </c>
      <c r="K320" s="1">
        <v>93.0</v>
      </c>
      <c r="L320" s="1">
        <v>366.0</v>
      </c>
      <c r="M320" s="1">
        <v>73.2</v>
      </c>
      <c r="N320" s="1">
        <v>90.0</v>
      </c>
      <c r="O320" s="1" t="s">
        <v>21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551</v>
      </c>
      <c r="B321" s="1" t="s">
        <v>383</v>
      </c>
      <c r="C321" s="1" t="s">
        <v>24</v>
      </c>
      <c r="D321" s="1" t="s">
        <v>25</v>
      </c>
      <c r="E321" s="1" t="s">
        <v>19</v>
      </c>
      <c r="F321" s="1" t="s">
        <v>77</v>
      </c>
      <c r="G321" s="1">
        <v>90.0</v>
      </c>
      <c r="H321" s="1">
        <v>66.0</v>
      </c>
      <c r="I321" s="1">
        <v>52.0</v>
      </c>
      <c r="J321" s="1">
        <v>88.0</v>
      </c>
      <c r="K321" s="1">
        <v>65.0</v>
      </c>
      <c r="L321" s="1">
        <v>361.0</v>
      </c>
      <c r="M321" s="1">
        <v>72.2</v>
      </c>
      <c r="N321" s="1">
        <v>85.0</v>
      </c>
      <c r="O321" s="1" t="s">
        <v>21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552</v>
      </c>
      <c r="B322" s="1" t="s">
        <v>545</v>
      </c>
      <c r="C322" s="1" t="s">
        <v>24</v>
      </c>
      <c r="D322" s="1" t="s">
        <v>40</v>
      </c>
      <c r="E322" s="1" t="s">
        <v>19</v>
      </c>
      <c r="F322" s="1" t="s">
        <v>27</v>
      </c>
      <c r="G322" s="1">
        <v>100.0</v>
      </c>
      <c r="H322" s="1">
        <v>55.0</v>
      </c>
      <c r="I322" s="1">
        <v>91.0</v>
      </c>
      <c r="J322" s="1">
        <v>42.0</v>
      </c>
      <c r="K322" s="1">
        <v>73.0</v>
      </c>
      <c r="L322" s="1">
        <v>361.0</v>
      </c>
      <c r="M322" s="1">
        <v>72.2</v>
      </c>
      <c r="N322" s="1">
        <v>83.0</v>
      </c>
      <c r="O322" s="1" t="s">
        <v>21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553</v>
      </c>
      <c r="B323" s="1" t="s">
        <v>372</v>
      </c>
      <c r="C323" s="1" t="s">
        <v>17</v>
      </c>
      <c r="D323" s="1" t="s">
        <v>25</v>
      </c>
      <c r="E323" s="1" t="s">
        <v>19</v>
      </c>
      <c r="F323" s="1" t="s">
        <v>41</v>
      </c>
      <c r="G323" s="1">
        <v>71.0</v>
      </c>
      <c r="H323" s="1">
        <v>59.0</v>
      </c>
      <c r="I323" s="1">
        <v>90.0</v>
      </c>
      <c r="J323" s="1">
        <v>68.0</v>
      </c>
      <c r="K323" s="1">
        <v>66.0</v>
      </c>
      <c r="L323" s="1">
        <v>354.0</v>
      </c>
      <c r="M323" s="1">
        <v>70.8</v>
      </c>
      <c r="N323" s="1">
        <v>83.0</v>
      </c>
      <c r="O323" s="1" t="s">
        <v>21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554</v>
      </c>
      <c r="B324" s="1" t="s">
        <v>72</v>
      </c>
      <c r="C324" s="1" t="s">
        <v>17</v>
      </c>
      <c r="D324" s="1" t="s">
        <v>40</v>
      </c>
      <c r="E324" s="1" t="s">
        <v>19</v>
      </c>
      <c r="F324" s="1" t="s">
        <v>77</v>
      </c>
      <c r="G324" s="1">
        <v>51.0</v>
      </c>
      <c r="H324" s="1">
        <v>65.0</v>
      </c>
      <c r="I324" s="1">
        <v>50.0</v>
      </c>
      <c r="J324" s="1">
        <v>43.0</v>
      </c>
      <c r="K324" s="1">
        <v>72.0</v>
      </c>
      <c r="L324" s="1">
        <v>281.0</v>
      </c>
      <c r="M324" s="1">
        <v>56.2</v>
      </c>
      <c r="N324" s="1">
        <v>77.0</v>
      </c>
      <c r="O324" s="1" t="s">
        <v>21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555</v>
      </c>
      <c r="B325" s="1" t="s">
        <v>556</v>
      </c>
      <c r="C325" s="1" t="s">
        <v>24</v>
      </c>
      <c r="D325" s="1" t="s">
        <v>54</v>
      </c>
      <c r="E325" s="1" t="s">
        <v>26</v>
      </c>
      <c r="F325" s="1" t="s">
        <v>20</v>
      </c>
      <c r="G325" s="1">
        <v>71.0</v>
      </c>
      <c r="H325" s="1">
        <v>85.0</v>
      </c>
      <c r="I325" s="1">
        <v>63.0</v>
      </c>
      <c r="J325" s="1">
        <v>44.0</v>
      </c>
      <c r="K325" s="1">
        <v>89.0</v>
      </c>
      <c r="L325" s="1">
        <v>352.0</v>
      </c>
      <c r="M325" s="1">
        <v>70.4</v>
      </c>
      <c r="N325" s="1">
        <v>88.0</v>
      </c>
      <c r="O325" s="1" t="s">
        <v>21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557</v>
      </c>
      <c r="B326" s="1" t="s">
        <v>516</v>
      </c>
      <c r="C326" s="1" t="s">
        <v>17</v>
      </c>
      <c r="D326" s="1" t="s">
        <v>40</v>
      </c>
      <c r="E326" s="1" t="s">
        <v>47</v>
      </c>
      <c r="F326" s="1" t="s">
        <v>44</v>
      </c>
      <c r="G326" s="1">
        <v>80.0</v>
      </c>
      <c r="H326" s="1">
        <v>96.0</v>
      </c>
      <c r="I326" s="1">
        <v>51.0</v>
      </c>
      <c r="J326" s="1">
        <v>91.0</v>
      </c>
      <c r="K326" s="1">
        <v>89.0</v>
      </c>
      <c r="L326" s="1">
        <v>407.0</v>
      </c>
      <c r="M326" s="1">
        <v>81.4</v>
      </c>
      <c r="N326" s="1">
        <v>68.0</v>
      </c>
      <c r="O326" s="1" t="s">
        <v>21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558</v>
      </c>
      <c r="B327" s="1" t="s">
        <v>139</v>
      </c>
      <c r="C327" s="1" t="s">
        <v>24</v>
      </c>
      <c r="D327" s="1" t="s">
        <v>54</v>
      </c>
      <c r="E327" s="1" t="s">
        <v>19</v>
      </c>
      <c r="F327" s="1" t="s">
        <v>77</v>
      </c>
      <c r="G327" s="1">
        <v>63.0</v>
      </c>
      <c r="H327" s="1">
        <v>40.0</v>
      </c>
      <c r="I327" s="1">
        <v>40.0</v>
      </c>
      <c r="J327" s="1">
        <v>62.0</v>
      </c>
      <c r="K327" s="1">
        <v>96.0</v>
      </c>
      <c r="L327" s="1">
        <v>301.0</v>
      </c>
      <c r="M327" s="1">
        <v>60.2</v>
      </c>
      <c r="N327" s="1">
        <v>83.0</v>
      </c>
      <c r="O327" s="1" t="s">
        <v>21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559</v>
      </c>
      <c r="B328" s="1" t="s">
        <v>455</v>
      </c>
      <c r="C328" s="1" t="s">
        <v>24</v>
      </c>
      <c r="D328" s="1" t="s">
        <v>54</v>
      </c>
      <c r="E328" s="1" t="s">
        <v>19</v>
      </c>
      <c r="F328" s="1" t="s">
        <v>77</v>
      </c>
      <c r="G328" s="1">
        <v>67.0</v>
      </c>
      <c r="H328" s="1">
        <v>56.0</v>
      </c>
      <c r="I328" s="1">
        <v>45.0</v>
      </c>
      <c r="J328" s="1">
        <v>71.0</v>
      </c>
      <c r="K328" s="1">
        <v>100.0</v>
      </c>
      <c r="L328" s="1">
        <v>339.0</v>
      </c>
      <c r="M328" s="1">
        <v>67.8</v>
      </c>
      <c r="N328" s="1">
        <v>75.0</v>
      </c>
      <c r="O328" s="1" t="s">
        <v>21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560</v>
      </c>
      <c r="B329" s="1" t="s">
        <v>561</v>
      </c>
      <c r="C329" s="1" t="s">
        <v>24</v>
      </c>
      <c r="D329" s="1" t="s">
        <v>30</v>
      </c>
      <c r="E329" s="1" t="s">
        <v>26</v>
      </c>
      <c r="F329" s="1" t="s">
        <v>41</v>
      </c>
      <c r="G329" s="1">
        <v>94.0</v>
      </c>
      <c r="H329" s="1">
        <v>79.0</v>
      </c>
      <c r="I329" s="1">
        <v>86.0</v>
      </c>
      <c r="J329" s="1">
        <v>71.0</v>
      </c>
      <c r="K329" s="1">
        <v>58.0</v>
      </c>
      <c r="L329" s="1">
        <v>388.0</v>
      </c>
      <c r="M329" s="1">
        <v>77.6</v>
      </c>
      <c r="N329" s="1">
        <v>66.0</v>
      </c>
      <c r="O329" s="1" t="s">
        <v>21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562</v>
      </c>
      <c r="B330" s="1" t="s">
        <v>463</v>
      </c>
      <c r="C330" s="1" t="s">
        <v>17</v>
      </c>
      <c r="D330" s="1" t="s">
        <v>40</v>
      </c>
      <c r="E330" s="1" t="s">
        <v>19</v>
      </c>
      <c r="F330" s="1" t="s">
        <v>20</v>
      </c>
      <c r="G330" s="1">
        <v>67.0</v>
      </c>
      <c r="H330" s="1">
        <v>41.0</v>
      </c>
      <c r="I330" s="1">
        <v>98.0</v>
      </c>
      <c r="J330" s="1">
        <v>67.0</v>
      </c>
      <c r="K330" s="1">
        <v>86.0</v>
      </c>
      <c r="L330" s="1">
        <v>359.0</v>
      </c>
      <c r="M330" s="1">
        <v>71.8</v>
      </c>
      <c r="N330" s="1">
        <v>68.0</v>
      </c>
      <c r="O330" s="1" t="s">
        <v>21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563</v>
      </c>
      <c r="B331" s="1" t="s">
        <v>564</v>
      </c>
      <c r="C331" s="1" t="s">
        <v>17</v>
      </c>
      <c r="D331" s="1" t="s">
        <v>54</v>
      </c>
      <c r="E331" s="1" t="s">
        <v>26</v>
      </c>
      <c r="F331" s="1" t="s">
        <v>20</v>
      </c>
      <c r="G331" s="1">
        <v>56.0</v>
      </c>
      <c r="H331" s="1">
        <v>59.0</v>
      </c>
      <c r="I331" s="1">
        <v>57.0</v>
      </c>
      <c r="J331" s="1">
        <v>85.0</v>
      </c>
      <c r="K331" s="1">
        <v>87.0</v>
      </c>
      <c r="L331" s="1">
        <v>344.0</v>
      </c>
      <c r="M331" s="1">
        <v>68.8</v>
      </c>
      <c r="N331" s="1">
        <v>73.0</v>
      </c>
      <c r="O331" s="1" t="s">
        <v>21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565</v>
      </c>
      <c r="B332" s="1" t="s">
        <v>111</v>
      </c>
      <c r="C332" s="1" t="s">
        <v>17</v>
      </c>
      <c r="D332" s="1" t="s">
        <v>18</v>
      </c>
      <c r="E332" s="1" t="s">
        <v>26</v>
      </c>
      <c r="F332" s="1" t="s">
        <v>41</v>
      </c>
      <c r="G332" s="1">
        <v>72.0</v>
      </c>
      <c r="H332" s="1">
        <v>58.0</v>
      </c>
      <c r="I332" s="1">
        <v>62.0</v>
      </c>
      <c r="J332" s="1">
        <v>44.0</v>
      </c>
      <c r="K332" s="1">
        <v>57.0</v>
      </c>
      <c r="L332" s="1">
        <v>293.0</v>
      </c>
      <c r="M332" s="1">
        <v>58.6</v>
      </c>
      <c r="N332" s="1">
        <v>80.0</v>
      </c>
      <c r="O332" s="1" t="s">
        <v>21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566</v>
      </c>
      <c r="B333" s="1" t="s">
        <v>311</v>
      </c>
      <c r="C333" s="1" t="s">
        <v>24</v>
      </c>
      <c r="D333" s="1" t="s">
        <v>25</v>
      </c>
      <c r="E333" s="1" t="s">
        <v>19</v>
      </c>
      <c r="F333" s="1" t="s">
        <v>41</v>
      </c>
      <c r="G333" s="1">
        <v>47.0</v>
      </c>
      <c r="H333" s="1">
        <v>67.0</v>
      </c>
      <c r="I333" s="1">
        <v>64.0</v>
      </c>
      <c r="J333" s="1">
        <v>88.0</v>
      </c>
      <c r="K333" s="1">
        <v>75.0</v>
      </c>
      <c r="L333" s="1">
        <v>341.0</v>
      </c>
      <c r="M333" s="1">
        <v>68.2</v>
      </c>
      <c r="N333" s="1">
        <v>96.0</v>
      </c>
      <c r="O333" s="1" t="s">
        <v>21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567</v>
      </c>
      <c r="B334" s="1" t="s">
        <v>43</v>
      </c>
      <c r="C334" s="1" t="s">
        <v>17</v>
      </c>
      <c r="D334" s="1" t="s">
        <v>18</v>
      </c>
      <c r="E334" s="1" t="s">
        <v>26</v>
      </c>
      <c r="F334" s="1" t="s">
        <v>77</v>
      </c>
      <c r="G334" s="1">
        <v>45.0</v>
      </c>
      <c r="H334" s="1">
        <v>47.0</v>
      </c>
      <c r="I334" s="1">
        <v>93.0</v>
      </c>
      <c r="J334" s="1">
        <v>50.0</v>
      </c>
      <c r="K334" s="1">
        <v>82.0</v>
      </c>
      <c r="L334" s="1">
        <v>317.0</v>
      </c>
      <c r="M334" s="1">
        <v>63.4</v>
      </c>
      <c r="N334" s="1">
        <v>99.0</v>
      </c>
      <c r="O334" s="1" t="s">
        <v>21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568</v>
      </c>
      <c r="B335" s="1" t="s">
        <v>320</v>
      </c>
      <c r="C335" s="1" t="s">
        <v>24</v>
      </c>
      <c r="D335" s="1" t="s">
        <v>18</v>
      </c>
      <c r="E335" s="1" t="s">
        <v>26</v>
      </c>
      <c r="F335" s="1" t="s">
        <v>44</v>
      </c>
      <c r="G335" s="1">
        <v>84.0</v>
      </c>
      <c r="H335" s="1">
        <v>85.0</v>
      </c>
      <c r="I335" s="1">
        <v>48.0</v>
      </c>
      <c r="J335" s="1">
        <v>72.0</v>
      </c>
      <c r="K335" s="1">
        <v>90.0</v>
      </c>
      <c r="L335" s="1">
        <v>379.0</v>
      </c>
      <c r="M335" s="1">
        <v>75.8</v>
      </c>
      <c r="N335" s="1">
        <v>81.0</v>
      </c>
      <c r="O335" s="1" t="s">
        <v>21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569</v>
      </c>
      <c r="B336" s="1" t="s">
        <v>570</v>
      </c>
      <c r="C336" s="1" t="s">
        <v>17</v>
      </c>
      <c r="D336" s="1" t="s">
        <v>18</v>
      </c>
      <c r="E336" s="1" t="s">
        <v>26</v>
      </c>
      <c r="F336" s="1" t="s">
        <v>55</v>
      </c>
      <c r="G336" s="1">
        <v>71.0</v>
      </c>
      <c r="H336" s="1">
        <v>42.0</v>
      </c>
      <c r="I336" s="1">
        <v>85.0</v>
      </c>
      <c r="J336" s="1">
        <v>81.0</v>
      </c>
      <c r="K336" s="1">
        <v>66.0</v>
      </c>
      <c r="L336" s="1">
        <v>345.0</v>
      </c>
      <c r="M336" s="1">
        <v>69.0</v>
      </c>
      <c r="N336" s="1">
        <v>100.0</v>
      </c>
      <c r="O336" s="1" t="s">
        <v>21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571</v>
      </c>
      <c r="B337" s="1" t="s">
        <v>572</v>
      </c>
      <c r="C337" s="1" t="s">
        <v>17</v>
      </c>
      <c r="D337" s="1" t="s">
        <v>25</v>
      </c>
      <c r="E337" s="1" t="s">
        <v>19</v>
      </c>
      <c r="F337" s="1" t="s">
        <v>55</v>
      </c>
      <c r="G337" s="1">
        <v>94.0</v>
      </c>
      <c r="H337" s="1">
        <v>95.0</v>
      </c>
      <c r="I337" s="1">
        <v>80.0</v>
      </c>
      <c r="J337" s="1">
        <v>71.0</v>
      </c>
      <c r="K337" s="1">
        <v>91.0</v>
      </c>
      <c r="L337" s="1">
        <v>431.0</v>
      </c>
      <c r="M337" s="1">
        <v>86.2</v>
      </c>
      <c r="N337" s="1">
        <v>95.0</v>
      </c>
      <c r="O337" s="1" t="s">
        <v>21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573</v>
      </c>
      <c r="B338" s="1" t="s">
        <v>139</v>
      </c>
      <c r="C338" s="1" t="s">
        <v>17</v>
      </c>
      <c r="D338" s="1" t="s">
        <v>18</v>
      </c>
      <c r="E338" s="1" t="s">
        <v>47</v>
      </c>
      <c r="F338" s="1" t="s">
        <v>20</v>
      </c>
      <c r="G338" s="1">
        <v>77.0</v>
      </c>
      <c r="H338" s="1">
        <v>55.0</v>
      </c>
      <c r="I338" s="1">
        <v>78.0</v>
      </c>
      <c r="J338" s="1">
        <v>74.0</v>
      </c>
      <c r="K338" s="1">
        <v>90.0</v>
      </c>
      <c r="L338" s="1">
        <v>374.0</v>
      </c>
      <c r="M338" s="1">
        <v>74.8</v>
      </c>
      <c r="N338" s="1">
        <v>62.0</v>
      </c>
      <c r="O338" s="1" t="s">
        <v>21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574</v>
      </c>
      <c r="B339" s="1" t="s">
        <v>96</v>
      </c>
      <c r="C339" s="1" t="s">
        <v>24</v>
      </c>
      <c r="D339" s="1" t="s">
        <v>40</v>
      </c>
      <c r="E339" s="1" t="s">
        <v>26</v>
      </c>
      <c r="F339" s="1" t="s">
        <v>37</v>
      </c>
      <c r="G339" s="1">
        <v>47.0</v>
      </c>
      <c r="H339" s="1">
        <v>84.0</v>
      </c>
      <c r="I339" s="1">
        <v>99.0</v>
      </c>
      <c r="J339" s="1">
        <v>58.0</v>
      </c>
      <c r="K339" s="1">
        <v>62.0</v>
      </c>
      <c r="L339" s="1">
        <v>350.0</v>
      </c>
      <c r="M339" s="1">
        <v>70.0</v>
      </c>
      <c r="N339" s="1">
        <v>89.0</v>
      </c>
      <c r="O339" s="1" t="s">
        <v>21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575</v>
      </c>
      <c r="B340" s="1" t="s">
        <v>576</v>
      </c>
      <c r="C340" s="1" t="s">
        <v>17</v>
      </c>
      <c r="D340" s="1" t="s">
        <v>25</v>
      </c>
      <c r="E340" s="1" t="s">
        <v>19</v>
      </c>
      <c r="F340" s="1" t="s">
        <v>55</v>
      </c>
      <c r="G340" s="1">
        <v>62.0</v>
      </c>
      <c r="H340" s="1">
        <v>44.0</v>
      </c>
      <c r="I340" s="1">
        <v>90.0</v>
      </c>
      <c r="J340" s="1">
        <v>77.0</v>
      </c>
      <c r="K340" s="1">
        <v>57.0</v>
      </c>
      <c r="L340" s="1">
        <v>330.0</v>
      </c>
      <c r="M340" s="1">
        <v>66.0</v>
      </c>
      <c r="N340" s="1">
        <v>76.0</v>
      </c>
      <c r="O340" s="1" t="s">
        <v>21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577</v>
      </c>
      <c r="B341" s="1" t="s">
        <v>556</v>
      </c>
      <c r="C341" s="1" t="s">
        <v>17</v>
      </c>
      <c r="D341" s="1" t="s">
        <v>18</v>
      </c>
      <c r="E341" s="1" t="s">
        <v>26</v>
      </c>
      <c r="F341" s="1" t="s">
        <v>77</v>
      </c>
      <c r="G341" s="1">
        <v>82.0</v>
      </c>
      <c r="H341" s="1">
        <v>44.0</v>
      </c>
      <c r="I341" s="1">
        <v>50.0</v>
      </c>
      <c r="J341" s="1">
        <v>48.0</v>
      </c>
      <c r="K341" s="1">
        <v>92.0</v>
      </c>
      <c r="L341" s="1">
        <v>316.0</v>
      </c>
      <c r="M341" s="1">
        <v>63.2</v>
      </c>
      <c r="N341" s="1">
        <v>89.0</v>
      </c>
      <c r="O341" s="1" t="s">
        <v>21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578</v>
      </c>
      <c r="B342" s="1" t="s">
        <v>16</v>
      </c>
      <c r="C342" s="1" t="s">
        <v>24</v>
      </c>
      <c r="D342" s="1" t="s">
        <v>18</v>
      </c>
      <c r="E342" s="1" t="s">
        <v>19</v>
      </c>
      <c r="F342" s="1" t="s">
        <v>37</v>
      </c>
      <c r="G342" s="1">
        <v>67.0</v>
      </c>
      <c r="H342" s="1">
        <v>85.0</v>
      </c>
      <c r="I342" s="1">
        <v>96.0</v>
      </c>
      <c r="J342" s="1">
        <v>69.0</v>
      </c>
      <c r="K342" s="1">
        <v>59.0</v>
      </c>
      <c r="L342" s="1">
        <v>376.0</v>
      </c>
      <c r="M342" s="1">
        <v>75.2</v>
      </c>
      <c r="N342" s="1">
        <v>100.0</v>
      </c>
      <c r="O342" s="1" t="s">
        <v>21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579</v>
      </c>
      <c r="B343" s="1" t="s">
        <v>580</v>
      </c>
      <c r="C343" s="1" t="s">
        <v>17</v>
      </c>
      <c r="D343" s="1" t="s">
        <v>54</v>
      </c>
      <c r="E343" s="1" t="s">
        <v>19</v>
      </c>
      <c r="F343" s="1" t="s">
        <v>77</v>
      </c>
      <c r="G343" s="1">
        <v>41.0</v>
      </c>
      <c r="H343" s="1">
        <v>56.0</v>
      </c>
      <c r="I343" s="1">
        <v>99.0</v>
      </c>
      <c r="J343" s="1">
        <v>58.0</v>
      </c>
      <c r="K343" s="1">
        <v>97.0</v>
      </c>
      <c r="L343" s="1">
        <v>351.0</v>
      </c>
      <c r="M343" s="1">
        <v>70.2</v>
      </c>
      <c r="N343" s="1">
        <v>75.0</v>
      </c>
      <c r="O343" s="1" t="s">
        <v>21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581</v>
      </c>
      <c r="B344" s="1" t="s">
        <v>582</v>
      </c>
      <c r="C344" s="1" t="s">
        <v>17</v>
      </c>
      <c r="D344" s="1" t="s">
        <v>18</v>
      </c>
      <c r="E344" s="1" t="s">
        <v>47</v>
      </c>
      <c r="F344" s="1" t="s">
        <v>77</v>
      </c>
      <c r="G344" s="1">
        <v>79.0</v>
      </c>
      <c r="H344" s="1">
        <v>52.0</v>
      </c>
      <c r="I344" s="1">
        <v>100.0</v>
      </c>
      <c r="J344" s="1">
        <v>73.0</v>
      </c>
      <c r="K344" s="1">
        <v>49.0</v>
      </c>
      <c r="L344" s="1">
        <v>353.0</v>
      </c>
      <c r="M344" s="1">
        <v>70.6</v>
      </c>
      <c r="N344" s="1">
        <v>89.0</v>
      </c>
      <c r="O344" s="1" t="s">
        <v>21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583</v>
      </c>
      <c r="B345" s="1" t="s">
        <v>223</v>
      </c>
      <c r="C345" s="1" t="s">
        <v>17</v>
      </c>
      <c r="D345" s="1" t="s">
        <v>54</v>
      </c>
      <c r="E345" s="1" t="s">
        <v>19</v>
      </c>
      <c r="F345" s="1" t="s">
        <v>62</v>
      </c>
      <c r="G345" s="1">
        <v>53.0</v>
      </c>
      <c r="H345" s="1">
        <v>94.0</v>
      </c>
      <c r="I345" s="1">
        <v>46.0</v>
      </c>
      <c r="J345" s="1">
        <v>53.0</v>
      </c>
      <c r="K345" s="1">
        <v>67.0</v>
      </c>
      <c r="L345" s="1">
        <v>313.0</v>
      </c>
      <c r="M345" s="1">
        <v>62.6</v>
      </c>
      <c r="N345" s="1">
        <v>68.0</v>
      </c>
      <c r="O345" s="1" t="s">
        <v>21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584</v>
      </c>
      <c r="B346" s="1" t="s">
        <v>167</v>
      </c>
      <c r="C346" s="1" t="s">
        <v>17</v>
      </c>
      <c r="D346" s="1" t="s">
        <v>18</v>
      </c>
      <c r="E346" s="1" t="s">
        <v>47</v>
      </c>
      <c r="F346" s="1" t="s">
        <v>44</v>
      </c>
      <c r="G346" s="1">
        <v>93.0</v>
      </c>
      <c r="H346" s="1">
        <v>45.0</v>
      </c>
      <c r="I346" s="1">
        <v>88.0</v>
      </c>
      <c r="J346" s="1">
        <v>77.0</v>
      </c>
      <c r="K346" s="1">
        <v>59.0</v>
      </c>
      <c r="L346" s="1">
        <v>362.0</v>
      </c>
      <c r="M346" s="1">
        <v>72.4</v>
      </c>
      <c r="N346" s="1">
        <v>75.0</v>
      </c>
      <c r="O346" s="1" t="s">
        <v>21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585</v>
      </c>
      <c r="B347" s="1" t="s">
        <v>586</v>
      </c>
      <c r="C347" s="1" t="s">
        <v>17</v>
      </c>
      <c r="D347" s="1" t="s">
        <v>18</v>
      </c>
      <c r="E347" s="1" t="s">
        <v>19</v>
      </c>
      <c r="F347" s="1" t="s">
        <v>44</v>
      </c>
      <c r="G347" s="1">
        <v>50.0</v>
      </c>
      <c r="H347" s="1">
        <v>95.0</v>
      </c>
      <c r="I347" s="1">
        <v>42.0</v>
      </c>
      <c r="J347" s="1">
        <v>96.0</v>
      </c>
      <c r="K347" s="1">
        <v>43.0</v>
      </c>
      <c r="L347" s="1">
        <v>326.0</v>
      </c>
      <c r="M347" s="1">
        <v>65.2</v>
      </c>
      <c r="N347" s="1">
        <v>88.0</v>
      </c>
      <c r="O347" s="1" t="s">
        <v>21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587</v>
      </c>
      <c r="B348" s="1" t="s">
        <v>588</v>
      </c>
      <c r="C348" s="1" t="s">
        <v>24</v>
      </c>
      <c r="D348" s="1" t="s">
        <v>25</v>
      </c>
      <c r="E348" s="1" t="s">
        <v>19</v>
      </c>
      <c r="F348" s="1" t="s">
        <v>41</v>
      </c>
      <c r="G348" s="1">
        <v>91.0</v>
      </c>
      <c r="H348" s="1">
        <v>44.0</v>
      </c>
      <c r="I348" s="1">
        <v>46.0</v>
      </c>
      <c r="J348" s="1">
        <v>72.0</v>
      </c>
      <c r="K348" s="1">
        <v>51.0</v>
      </c>
      <c r="L348" s="1">
        <v>304.0</v>
      </c>
      <c r="M348" s="1">
        <v>60.8</v>
      </c>
      <c r="N348" s="1">
        <v>74.0</v>
      </c>
      <c r="O348" s="1" t="s">
        <v>21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589</v>
      </c>
      <c r="B349" s="1" t="s">
        <v>390</v>
      </c>
      <c r="C349" s="1" t="s">
        <v>17</v>
      </c>
      <c r="D349" s="1" t="s">
        <v>40</v>
      </c>
      <c r="E349" s="1" t="s">
        <v>26</v>
      </c>
      <c r="F349" s="1" t="s">
        <v>62</v>
      </c>
      <c r="G349" s="1">
        <v>80.0</v>
      </c>
      <c r="H349" s="1">
        <v>62.0</v>
      </c>
      <c r="I349" s="1">
        <v>54.0</v>
      </c>
      <c r="J349" s="1">
        <v>43.0</v>
      </c>
      <c r="K349" s="1">
        <v>43.0</v>
      </c>
      <c r="L349" s="1">
        <v>282.0</v>
      </c>
      <c r="M349" s="1">
        <v>56.4</v>
      </c>
      <c r="N349" s="1">
        <v>87.0</v>
      </c>
      <c r="O349" s="1" t="s">
        <v>21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590</v>
      </c>
      <c r="B350" s="1" t="s">
        <v>175</v>
      </c>
      <c r="C350" s="1" t="s">
        <v>17</v>
      </c>
      <c r="D350" s="1" t="s">
        <v>18</v>
      </c>
      <c r="E350" s="1" t="s">
        <v>26</v>
      </c>
      <c r="F350" s="1" t="s">
        <v>41</v>
      </c>
      <c r="G350" s="1">
        <v>87.0</v>
      </c>
      <c r="H350" s="1">
        <v>70.0</v>
      </c>
      <c r="I350" s="1">
        <v>67.0</v>
      </c>
      <c r="J350" s="1">
        <v>84.0</v>
      </c>
      <c r="K350" s="1">
        <v>42.0</v>
      </c>
      <c r="L350" s="1">
        <v>350.0</v>
      </c>
      <c r="M350" s="1">
        <v>70.0</v>
      </c>
      <c r="N350" s="1">
        <v>65.0</v>
      </c>
      <c r="O350" s="1" t="s">
        <v>21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591</v>
      </c>
      <c r="B351" s="1" t="s">
        <v>376</v>
      </c>
      <c r="C351" s="1" t="s">
        <v>24</v>
      </c>
      <c r="D351" s="1" t="s">
        <v>54</v>
      </c>
      <c r="E351" s="1" t="s">
        <v>26</v>
      </c>
      <c r="F351" s="1" t="s">
        <v>62</v>
      </c>
      <c r="G351" s="1">
        <v>75.0</v>
      </c>
      <c r="H351" s="1">
        <v>86.0</v>
      </c>
      <c r="I351" s="1">
        <v>96.0</v>
      </c>
      <c r="J351" s="1">
        <v>88.0</v>
      </c>
      <c r="K351" s="1">
        <v>92.0</v>
      </c>
      <c r="L351" s="1">
        <v>437.0</v>
      </c>
      <c r="M351" s="1">
        <v>87.4</v>
      </c>
      <c r="N351" s="1">
        <v>100.0</v>
      </c>
      <c r="O351" s="1" t="s">
        <v>21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592</v>
      </c>
      <c r="B352" s="1" t="s">
        <v>43</v>
      </c>
      <c r="C352" s="1" t="s">
        <v>17</v>
      </c>
      <c r="D352" s="1" t="s">
        <v>18</v>
      </c>
      <c r="E352" s="1" t="s">
        <v>26</v>
      </c>
      <c r="F352" s="1" t="s">
        <v>37</v>
      </c>
      <c r="G352" s="1">
        <v>50.0</v>
      </c>
      <c r="H352" s="1">
        <v>40.0</v>
      </c>
      <c r="I352" s="1">
        <v>50.0</v>
      </c>
      <c r="J352" s="1">
        <v>98.0</v>
      </c>
      <c r="K352" s="1">
        <v>52.0</v>
      </c>
      <c r="L352" s="1">
        <v>290.0</v>
      </c>
      <c r="M352" s="1">
        <v>58.0</v>
      </c>
      <c r="N352" s="1">
        <v>71.0</v>
      </c>
      <c r="O352" s="1" t="s">
        <v>21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593</v>
      </c>
      <c r="B353" s="1" t="s">
        <v>374</v>
      </c>
      <c r="C353" s="1" t="s">
        <v>17</v>
      </c>
      <c r="D353" s="1" t="s">
        <v>40</v>
      </c>
      <c r="E353" s="1" t="s">
        <v>19</v>
      </c>
      <c r="F353" s="1" t="s">
        <v>41</v>
      </c>
      <c r="G353" s="1">
        <v>65.0</v>
      </c>
      <c r="H353" s="1">
        <v>88.0</v>
      </c>
      <c r="I353" s="1">
        <v>58.0</v>
      </c>
      <c r="J353" s="1">
        <v>65.0</v>
      </c>
      <c r="K353" s="1">
        <v>59.0</v>
      </c>
      <c r="L353" s="1">
        <v>335.0</v>
      </c>
      <c r="M353" s="1">
        <v>67.0</v>
      </c>
      <c r="N353" s="1">
        <v>91.0</v>
      </c>
      <c r="O353" s="1" t="s">
        <v>21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594</v>
      </c>
      <c r="B354" s="1" t="s">
        <v>595</v>
      </c>
      <c r="C354" s="1" t="s">
        <v>24</v>
      </c>
      <c r="D354" s="1" t="s">
        <v>25</v>
      </c>
      <c r="E354" s="1" t="s">
        <v>26</v>
      </c>
      <c r="F354" s="1" t="s">
        <v>27</v>
      </c>
      <c r="G354" s="1">
        <v>45.0</v>
      </c>
      <c r="H354" s="1">
        <v>77.0</v>
      </c>
      <c r="I354" s="1">
        <v>56.0</v>
      </c>
      <c r="J354" s="1">
        <v>43.0</v>
      </c>
      <c r="K354" s="1">
        <v>81.0</v>
      </c>
      <c r="L354" s="1">
        <v>302.0</v>
      </c>
      <c r="M354" s="1">
        <v>60.4</v>
      </c>
      <c r="N354" s="1">
        <v>94.0</v>
      </c>
      <c r="O354" s="1" t="s">
        <v>21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596</v>
      </c>
      <c r="B355" s="1" t="s">
        <v>72</v>
      </c>
      <c r="C355" s="1" t="s">
        <v>17</v>
      </c>
      <c r="D355" s="1" t="s">
        <v>54</v>
      </c>
      <c r="E355" s="1" t="s">
        <v>47</v>
      </c>
      <c r="F355" s="1" t="s">
        <v>55</v>
      </c>
      <c r="G355" s="1">
        <v>98.0</v>
      </c>
      <c r="H355" s="1">
        <v>50.0</v>
      </c>
      <c r="I355" s="1">
        <v>63.0</v>
      </c>
      <c r="J355" s="1">
        <v>46.0</v>
      </c>
      <c r="K355" s="1">
        <v>44.0</v>
      </c>
      <c r="L355" s="1">
        <v>301.0</v>
      </c>
      <c r="M355" s="1">
        <v>60.2</v>
      </c>
      <c r="N355" s="1">
        <v>60.0</v>
      </c>
      <c r="O355" s="1" t="s">
        <v>21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597</v>
      </c>
      <c r="B356" s="1" t="s">
        <v>344</v>
      </c>
      <c r="C356" s="1" t="s">
        <v>24</v>
      </c>
      <c r="D356" s="1" t="s">
        <v>40</v>
      </c>
      <c r="E356" s="1" t="s">
        <v>26</v>
      </c>
      <c r="F356" s="1" t="s">
        <v>27</v>
      </c>
      <c r="G356" s="1">
        <v>99.0</v>
      </c>
      <c r="H356" s="1">
        <v>62.0</v>
      </c>
      <c r="I356" s="1">
        <v>63.0</v>
      </c>
      <c r="J356" s="1">
        <v>82.0</v>
      </c>
      <c r="K356" s="1">
        <v>69.0</v>
      </c>
      <c r="L356" s="1">
        <v>375.0</v>
      </c>
      <c r="M356" s="1">
        <v>75.0</v>
      </c>
      <c r="N356" s="1">
        <v>81.0</v>
      </c>
      <c r="O356" s="1" t="s">
        <v>21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598</v>
      </c>
      <c r="B357" s="1" t="s">
        <v>161</v>
      </c>
      <c r="C357" s="1" t="s">
        <v>17</v>
      </c>
      <c r="D357" s="1" t="s">
        <v>25</v>
      </c>
      <c r="E357" s="1" t="s">
        <v>26</v>
      </c>
      <c r="F357" s="1" t="s">
        <v>44</v>
      </c>
      <c r="G357" s="1">
        <v>90.0</v>
      </c>
      <c r="H357" s="1">
        <v>44.0</v>
      </c>
      <c r="I357" s="1">
        <v>40.0</v>
      </c>
      <c r="J357" s="1">
        <v>91.0</v>
      </c>
      <c r="K357" s="1">
        <v>61.0</v>
      </c>
      <c r="L357" s="1">
        <v>326.0</v>
      </c>
      <c r="M357" s="1">
        <v>65.2</v>
      </c>
      <c r="N357" s="1">
        <v>89.0</v>
      </c>
      <c r="O357" s="1" t="s">
        <v>21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599</v>
      </c>
      <c r="B358" s="1" t="s">
        <v>299</v>
      </c>
      <c r="C358" s="1" t="s">
        <v>17</v>
      </c>
      <c r="D358" s="1" t="s">
        <v>54</v>
      </c>
      <c r="E358" s="1" t="s">
        <v>47</v>
      </c>
      <c r="F358" s="1" t="s">
        <v>44</v>
      </c>
      <c r="G358" s="1">
        <v>40.0</v>
      </c>
      <c r="H358" s="1">
        <v>89.0</v>
      </c>
      <c r="I358" s="1">
        <v>75.0</v>
      </c>
      <c r="J358" s="1">
        <v>63.0</v>
      </c>
      <c r="K358" s="1">
        <v>55.0</v>
      </c>
      <c r="L358" s="1">
        <v>322.0</v>
      </c>
      <c r="M358" s="1">
        <v>64.4</v>
      </c>
      <c r="N358" s="1">
        <v>82.0</v>
      </c>
      <c r="O358" s="1" t="s">
        <v>21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600</v>
      </c>
      <c r="B359" s="1" t="s">
        <v>601</v>
      </c>
      <c r="C359" s="1" t="s">
        <v>24</v>
      </c>
      <c r="D359" s="1" t="s">
        <v>25</v>
      </c>
      <c r="E359" s="1" t="s">
        <v>26</v>
      </c>
      <c r="F359" s="1" t="s">
        <v>27</v>
      </c>
      <c r="G359" s="1">
        <v>93.0</v>
      </c>
      <c r="H359" s="1">
        <v>50.0</v>
      </c>
      <c r="I359" s="1">
        <v>94.0</v>
      </c>
      <c r="J359" s="1">
        <v>63.0</v>
      </c>
      <c r="K359" s="1">
        <v>96.0</v>
      </c>
      <c r="L359" s="1">
        <v>396.0</v>
      </c>
      <c r="M359" s="1">
        <v>79.2</v>
      </c>
      <c r="N359" s="1">
        <v>91.0</v>
      </c>
      <c r="O359" s="1" t="s">
        <v>21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602</v>
      </c>
      <c r="B360" s="1" t="s">
        <v>475</v>
      </c>
      <c r="C360" s="1" t="s">
        <v>24</v>
      </c>
      <c r="D360" s="1" t="s">
        <v>25</v>
      </c>
      <c r="E360" s="1" t="s">
        <v>19</v>
      </c>
      <c r="F360" s="1" t="s">
        <v>20</v>
      </c>
      <c r="G360" s="1">
        <v>60.0</v>
      </c>
      <c r="H360" s="1">
        <v>58.0</v>
      </c>
      <c r="I360" s="1">
        <v>46.0</v>
      </c>
      <c r="J360" s="1">
        <v>47.0</v>
      </c>
      <c r="K360" s="1">
        <v>72.0</v>
      </c>
      <c r="L360" s="1">
        <v>283.0</v>
      </c>
      <c r="M360" s="1">
        <v>56.6</v>
      </c>
      <c r="N360" s="1">
        <v>93.0</v>
      </c>
      <c r="O360" s="1" t="s">
        <v>21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603</v>
      </c>
      <c r="B361" s="1" t="s">
        <v>383</v>
      </c>
      <c r="C361" s="1" t="s">
        <v>17</v>
      </c>
      <c r="D361" s="1" t="s">
        <v>18</v>
      </c>
      <c r="E361" s="1" t="s">
        <v>19</v>
      </c>
      <c r="F361" s="1" t="s">
        <v>20</v>
      </c>
      <c r="G361" s="1">
        <v>57.0</v>
      </c>
      <c r="H361" s="1">
        <v>67.0</v>
      </c>
      <c r="I361" s="1">
        <v>95.0</v>
      </c>
      <c r="J361" s="1">
        <v>71.0</v>
      </c>
      <c r="K361" s="1">
        <v>42.0</v>
      </c>
      <c r="L361" s="1">
        <v>332.0</v>
      </c>
      <c r="M361" s="1">
        <v>66.4</v>
      </c>
      <c r="N361" s="1">
        <v>94.0</v>
      </c>
      <c r="O361" s="1" t="s">
        <v>21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604</v>
      </c>
      <c r="B362" s="1" t="s">
        <v>36</v>
      </c>
      <c r="C362" s="1" t="s">
        <v>24</v>
      </c>
      <c r="D362" s="1" t="s">
        <v>40</v>
      </c>
      <c r="E362" s="1" t="s">
        <v>26</v>
      </c>
      <c r="F362" s="1" t="s">
        <v>44</v>
      </c>
      <c r="G362" s="1">
        <v>55.0</v>
      </c>
      <c r="H362" s="1">
        <v>43.0</v>
      </c>
      <c r="I362" s="1">
        <v>81.0</v>
      </c>
      <c r="J362" s="1">
        <v>80.0</v>
      </c>
      <c r="K362" s="1">
        <v>81.0</v>
      </c>
      <c r="L362" s="1">
        <v>340.0</v>
      </c>
      <c r="M362" s="1">
        <v>68.0</v>
      </c>
      <c r="N362" s="1">
        <v>87.0</v>
      </c>
      <c r="O362" s="1" t="s">
        <v>21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605</v>
      </c>
      <c r="B363" s="1" t="s">
        <v>550</v>
      </c>
      <c r="C363" s="1" t="s">
        <v>17</v>
      </c>
      <c r="D363" s="1" t="s">
        <v>18</v>
      </c>
      <c r="E363" s="1" t="s">
        <v>47</v>
      </c>
      <c r="F363" s="1" t="s">
        <v>41</v>
      </c>
      <c r="G363" s="1">
        <v>61.0</v>
      </c>
      <c r="H363" s="1">
        <v>69.0</v>
      </c>
      <c r="I363" s="1">
        <v>65.0</v>
      </c>
      <c r="J363" s="1">
        <v>46.0</v>
      </c>
      <c r="K363" s="1">
        <v>41.0</v>
      </c>
      <c r="L363" s="1">
        <v>282.0</v>
      </c>
      <c r="M363" s="1">
        <v>56.4</v>
      </c>
      <c r="N363" s="1">
        <v>73.0</v>
      </c>
      <c r="O363" s="1" t="s">
        <v>21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606</v>
      </c>
      <c r="B364" s="1" t="s">
        <v>34</v>
      </c>
      <c r="C364" s="1" t="s">
        <v>17</v>
      </c>
      <c r="D364" s="1" t="s">
        <v>30</v>
      </c>
      <c r="E364" s="1" t="s">
        <v>19</v>
      </c>
      <c r="F364" s="1" t="s">
        <v>37</v>
      </c>
      <c r="G364" s="1">
        <v>66.0</v>
      </c>
      <c r="H364" s="1">
        <v>73.0</v>
      </c>
      <c r="I364" s="1">
        <v>73.0</v>
      </c>
      <c r="J364" s="1">
        <v>53.0</v>
      </c>
      <c r="K364" s="1">
        <v>74.0</v>
      </c>
      <c r="L364" s="1">
        <v>339.0</v>
      </c>
      <c r="M364" s="1">
        <v>67.8</v>
      </c>
      <c r="N364" s="1">
        <v>67.0</v>
      </c>
      <c r="O364" s="1" t="s">
        <v>21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607</v>
      </c>
      <c r="B365" s="1" t="s">
        <v>434</v>
      </c>
      <c r="C365" s="1" t="s">
        <v>24</v>
      </c>
      <c r="D365" s="1" t="s">
        <v>30</v>
      </c>
      <c r="E365" s="1" t="s">
        <v>47</v>
      </c>
      <c r="F365" s="1" t="s">
        <v>37</v>
      </c>
      <c r="G365" s="1">
        <v>100.0</v>
      </c>
      <c r="H365" s="1">
        <v>78.0</v>
      </c>
      <c r="I365" s="1">
        <v>88.0</v>
      </c>
      <c r="J365" s="1">
        <v>54.0</v>
      </c>
      <c r="K365" s="1">
        <v>97.0</v>
      </c>
      <c r="L365" s="1">
        <v>417.0</v>
      </c>
      <c r="M365" s="1">
        <v>83.4</v>
      </c>
      <c r="N365" s="1">
        <v>65.0</v>
      </c>
      <c r="O365" s="1" t="s">
        <v>21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608</v>
      </c>
      <c r="B366" s="1" t="s">
        <v>265</v>
      </c>
      <c r="C366" s="1" t="s">
        <v>24</v>
      </c>
      <c r="D366" s="1" t="s">
        <v>25</v>
      </c>
      <c r="E366" s="1" t="s">
        <v>47</v>
      </c>
      <c r="F366" s="1" t="s">
        <v>41</v>
      </c>
      <c r="G366" s="1">
        <v>51.0</v>
      </c>
      <c r="H366" s="1">
        <v>49.0</v>
      </c>
      <c r="I366" s="1">
        <v>77.0</v>
      </c>
      <c r="J366" s="1">
        <v>59.0</v>
      </c>
      <c r="K366" s="1">
        <v>75.0</v>
      </c>
      <c r="L366" s="1">
        <v>311.0</v>
      </c>
      <c r="M366" s="1">
        <v>62.2</v>
      </c>
      <c r="N366" s="1">
        <v>78.0</v>
      </c>
      <c r="O366" s="1" t="s">
        <v>21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609</v>
      </c>
      <c r="B367" s="1" t="s">
        <v>99</v>
      </c>
      <c r="C367" s="1" t="s">
        <v>17</v>
      </c>
      <c r="D367" s="1" t="s">
        <v>40</v>
      </c>
      <c r="E367" s="1" t="s">
        <v>19</v>
      </c>
      <c r="F367" s="1" t="s">
        <v>55</v>
      </c>
      <c r="G367" s="1">
        <v>77.0</v>
      </c>
      <c r="H367" s="1">
        <v>83.0</v>
      </c>
      <c r="I367" s="1">
        <v>82.0</v>
      </c>
      <c r="J367" s="1">
        <v>71.0</v>
      </c>
      <c r="K367" s="1">
        <v>88.0</v>
      </c>
      <c r="L367" s="1">
        <v>401.0</v>
      </c>
      <c r="M367" s="1">
        <v>80.2</v>
      </c>
      <c r="N367" s="1">
        <v>64.0</v>
      </c>
      <c r="O367" s="1" t="s">
        <v>21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610</v>
      </c>
      <c r="B368" s="1" t="s">
        <v>611</v>
      </c>
      <c r="C368" s="1" t="s">
        <v>24</v>
      </c>
      <c r="D368" s="1" t="s">
        <v>30</v>
      </c>
      <c r="E368" s="1" t="s">
        <v>47</v>
      </c>
      <c r="F368" s="1" t="s">
        <v>37</v>
      </c>
      <c r="G368" s="1">
        <v>92.0</v>
      </c>
      <c r="H368" s="1">
        <v>57.0</v>
      </c>
      <c r="I368" s="1">
        <v>95.0</v>
      </c>
      <c r="J368" s="1">
        <v>54.0</v>
      </c>
      <c r="K368" s="1">
        <v>87.0</v>
      </c>
      <c r="L368" s="1">
        <v>385.0</v>
      </c>
      <c r="M368" s="1">
        <v>77.0</v>
      </c>
      <c r="N368" s="1">
        <v>60.0</v>
      </c>
      <c r="O368" s="1" t="s">
        <v>21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612</v>
      </c>
      <c r="B369" s="1" t="s">
        <v>580</v>
      </c>
      <c r="C369" s="1" t="s">
        <v>17</v>
      </c>
      <c r="D369" s="1" t="s">
        <v>40</v>
      </c>
      <c r="E369" s="1" t="s">
        <v>47</v>
      </c>
      <c r="F369" s="1" t="s">
        <v>37</v>
      </c>
      <c r="G369" s="1">
        <v>89.0</v>
      </c>
      <c r="H369" s="1">
        <v>44.0</v>
      </c>
      <c r="I369" s="1">
        <v>73.0</v>
      </c>
      <c r="J369" s="1">
        <v>86.0</v>
      </c>
      <c r="K369" s="1">
        <v>52.0</v>
      </c>
      <c r="L369" s="1">
        <v>344.0</v>
      </c>
      <c r="M369" s="1">
        <v>68.8</v>
      </c>
      <c r="N369" s="1">
        <v>88.0</v>
      </c>
      <c r="O369" s="1" t="s">
        <v>21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613</v>
      </c>
      <c r="B370" s="1" t="s">
        <v>614</v>
      </c>
      <c r="C370" s="1" t="s">
        <v>24</v>
      </c>
      <c r="D370" s="1" t="s">
        <v>30</v>
      </c>
      <c r="E370" s="1" t="s">
        <v>26</v>
      </c>
      <c r="F370" s="1" t="s">
        <v>55</v>
      </c>
      <c r="G370" s="1">
        <v>67.0</v>
      </c>
      <c r="H370" s="1">
        <v>56.0</v>
      </c>
      <c r="I370" s="1">
        <v>52.0</v>
      </c>
      <c r="J370" s="1">
        <v>75.0</v>
      </c>
      <c r="K370" s="1">
        <v>93.0</v>
      </c>
      <c r="L370" s="1">
        <v>343.0</v>
      </c>
      <c r="M370" s="1">
        <v>68.6</v>
      </c>
      <c r="N370" s="1">
        <v>97.0</v>
      </c>
      <c r="O370" s="1" t="s">
        <v>21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615</v>
      </c>
      <c r="B371" s="1" t="s">
        <v>125</v>
      </c>
      <c r="C371" s="1" t="s">
        <v>17</v>
      </c>
      <c r="D371" s="1" t="s">
        <v>25</v>
      </c>
      <c r="E371" s="1" t="s">
        <v>47</v>
      </c>
      <c r="F371" s="1" t="s">
        <v>44</v>
      </c>
      <c r="G371" s="1">
        <v>80.0</v>
      </c>
      <c r="H371" s="1">
        <v>94.0</v>
      </c>
      <c r="I371" s="1">
        <v>100.0</v>
      </c>
      <c r="J371" s="1">
        <v>71.0</v>
      </c>
      <c r="K371" s="1">
        <v>62.0</v>
      </c>
      <c r="L371" s="1">
        <v>407.0</v>
      </c>
      <c r="M371" s="1">
        <v>81.4</v>
      </c>
      <c r="N371" s="1">
        <v>66.0</v>
      </c>
      <c r="O371" s="1" t="s">
        <v>21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616</v>
      </c>
      <c r="B372" s="1" t="s">
        <v>502</v>
      </c>
      <c r="C372" s="1" t="s">
        <v>24</v>
      </c>
      <c r="D372" s="1" t="s">
        <v>30</v>
      </c>
      <c r="E372" s="1" t="s">
        <v>26</v>
      </c>
      <c r="F372" s="1" t="s">
        <v>77</v>
      </c>
      <c r="G372" s="1">
        <v>65.0</v>
      </c>
      <c r="H372" s="1">
        <v>72.0</v>
      </c>
      <c r="I372" s="1">
        <v>55.0</v>
      </c>
      <c r="J372" s="1">
        <v>72.0</v>
      </c>
      <c r="K372" s="1">
        <v>91.0</v>
      </c>
      <c r="L372" s="1">
        <v>355.0</v>
      </c>
      <c r="M372" s="1">
        <v>71.0</v>
      </c>
      <c r="N372" s="1">
        <v>86.0</v>
      </c>
      <c r="O372" s="1" t="s">
        <v>21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617</v>
      </c>
      <c r="B373" s="1" t="s">
        <v>117</v>
      </c>
      <c r="C373" s="1" t="s">
        <v>24</v>
      </c>
      <c r="D373" s="1" t="s">
        <v>25</v>
      </c>
      <c r="E373" s="1" t="s">
        <v>26</v>
      </c>
      <c r="F373" s="1" t="s">
        <v>55</v>
      </c>
      <c r="G373" s="1">
        <v>96.0</v>
      </c>
      <c r="H373" s="1">
        <v>84.0</v>
      </c>
      <c r="I373" s="1">
        <v>74.0</v>
      </c>
      <c r="J373" s="1">
        <v>61.0</v>
      </c>
      <c r="K373" s="1">
        <v>80.0</v>
      </c>
      <c r="L373" s="1">
        <v>395.0</v>
      </c>
      <c r="M373" s="1">
        <v>79.0</v>
      </c>
      <c r="N373" s="1">
        <v>60.0</v>
      </c>
      <c r="O373" s="1" t="s">
        <v>21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618</v>
      </c>
      <c r="B374" s="1" t="s">
        <v>475</v>
      </c>
      <c r="C374" s="1" t="s">
        <v>24</v>
      </c>
      <c r="D374" s="1" t="s">
        <v>18</v>
      </c>
      <c r="E374" s="1" t="s">
        <v>47</v>
      </c>
      <c r="F374" s="1" t="s">
        <v>27</v>
      </c>
      <c r="G374" s="1">
        <v>72.0</v>
      </c>
      <c r="H374" s="1">
        <v>67.0</v>
      </c>
      <c r="I374" s="1">
        <v>76.0</v>
      </c>
      <c r="J374" s="1">
        <v>88.0</v>
      </c>
      <c r="K374" s="1">
        <v>75.0</v>
      </c>
      <c r="L374" s="1">
        <v>378.0</v>
      </c>
      <c r="M374" s="1">
        <v>75.6</v>
      </c>
      <c r="N374" s="1">
        <v>97.0</v>
      </c>
      <c r="O374" s="1" t="s">
        <v>21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619</v>
      </c>
      <c r="B375" s="1" t="s">
        <v>121</v>
      </c>
      <c r="C375" s="1" t="s">
        <v>17</v>
      </c>
      <c r="D375" s="1" t="s">
        <v>25</v>
      </c>
      <c r="E375" s="1" t="s">
        <v>47</v>
      </c>
      <c r="F375" s="1" t="s">
        <v>37</v>
      </c>
      <c r="G375" s="1">
        <v>41.0</v>
      </c>
      <c r="H375" s="1">
        <v>74.0</v>
      </c>
      <c r="I375" s="1">
        <v>45.0</v>
      </c>
      <c r="J375" s="1">
        <v>77.0</v>
      </c>
      <c r="K375" s="1">
        <v>65.0</v>
      </c>
      <c r="L375" s="1">
        <v>302.0</v>
      </c>
      <c r="M375" s="1">
        <v>60.4</v>
      </c>
      <c r="N375" s="1">
        <v>98.0</v>
      </c>
      <c r="O375" s="1" t="s">
        <v>21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620</v>
      </c>
      <c r="B376" s="1" t="s">
        <v>135</v>
      </c>
      <c r="C376" s="1" t="s">
        <v>17</v>
      </c>
      <c r="D376" s="1" t="s">
        <v>25</v>
      </c>
      <c r="E376" s="1" t="s">
        <v>47</v>
      </c>
      <c r="F376" s="1" t="s">
        <v>44</v>
      </c>
      <c r="G376" s="1">
        <v>66.0</v>
      </c>
      <c r="H376" s="1">
        <v>99.0</v>
      </c>
      <c r="I376" s="1">
        <v>100.0</v>
      </c>
      <c r="J376" s="1">
        <v>71.0</v>
      </c>
      <c r="K376" s="1">
        <v>59.0</v>
      </c>
      <c r="L376" s="1">
        <v>395.0</v>
      </c>
      <c r="M376" s="1">
        <v>79.0</v>
      </c>
      <c r="N376" s="1">
        <v>67.0</v>
      </c>
      <c r="O376" s="1" t="s">
        <v>21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621</v>
      </c>
      <c r="B377" s="1" t="s">
        <v>279</v>
      </c>
      <c r="C377" s="1" t="s">
        <v>17</v>
      </c>
      <c r="D377" s="1" t="s">
        <v>25</v>
      </c>
      <c r="E377" s="1" t="s">
        <v>47</v>
      </c>
      <c r="F377" s="1" t="s">
        <v>37</v>
      </c>
      <c r="G377" s="1">
        <v>94.0</v>
      </c>
      <c r="H377" s="1">
        <v>63.0</v>
      </c>
      <c r="I377" s="1">
        <v>46.0</v>
      </c>
      <c r="J377" s="1">
        <v>73.0</v>
      </c>
      <c r="K377" s="1">
        <v>68.0</v>
      </c>
      <c r="L377" s="1">
        <v>344.0</v>
      </c>
      <c r="M377" s="1">
        <v>68.8</v>
      </c>
      <c r="N377" s="1">
        <v>87.0</v>
      </c>
      <c r="O377" s="1" t="s">
        <v>21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622</v>
      </c>
      <c r="B378" s="1" t="s">
        <v>623</v>
      </c>
      <c r="C378" s="1" t="s">
        <v>24</v>
      </c>
      <c r="D378" s="1" t="s">
        <v>30</v>
      </c>
      <c r="E378" s="1" t="s">
        <v>26</v>
      </c>
      <c r="F378" s="1" t="s">
        <v>62</v>
      </c>
      <c r="G378" s="1">
        <v>94.0</v>
      </c>
      <c r="H378" s="1">
        <v>48.0</v>
      </c>
      <c r="I378" s="1">
        <v>80.0</v>
      </c>
      <c r="J378" s="1">
        <v>42.0</v>
      </c>
      <c r="K378" s="1">
        <v>91.0</v>
      </c>
      <c r="L378" s="1">
        <v>355.0</v>
      </c>
      <c r="M378" s="1">
        <v>71.0</v>
      </c>
      <c r="N378" s="1">
        <v>81.0</v>
      </c>
      <c r="O378" s="1" t="s">
        <v>21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624</v>
      </c>
      <c r="B379" s="1" t="s">
        <v>625</v>
      </c>
      <c r="C379" s="1" t="s">
        <v>24</v>
      </c>
      <c r="D379" s="1" t="s">
        <v>18</v>
      </c>
      <c r="E379" s="1" t="s">
        <v>19</v>
      </c>
      <c r="F379" s="1" t="s">
        <v>41</v>
      </c>
      <c r="G379" s="1">
        <v>97.0</v>
      </c>
      <c r="H379" s="1">
        <v>61.0</v>
      </c>
      <c r="I379" s="1">
        <v>80.0</v>
      </c>
      <c r="J379" s="1">
        <v>78.0</v>
      </c>
      <c r="K379" s="1">
        <v>93.0</v>
      </c>
      <c r="L379" s="1">
        <v>409.0</v>
      </c>
      <c r="M379" s="1">
        <v>81.8</v>
      </c>
      <c r="N379" s="1">
        <v>93.0</v>
      </c>
      <c r="O379" s="1" t="s">
        <v>21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626</v>
      </c>
      <c r="B380" s="1" t="s">
        <v>367</v>
      </c>
      <c r="C380" s="1" t="s">
        <v>24</v>
      </c>
      <c r="D380" s="1" t="s">
        <v>18</v>
      </c>
      <c r="E380" s="1" t="s">
        <v>19</v>
      </c>
      <c r="F380" s="1" t="s">
        <v>27</v>
      </c>
      <c r="G380" s="1">
        <v>52.0</v>
      </c>
      <c r="H380" s="1">
        <v>64.0</v>
      </c>
      <c r="I380" s="1">
        <v>79.0</v>
      </c>
      <c r="J380" s="1">
        <v>74.0</v>
      </c>
      <c r="K380" s="1">
        <v>46.0</v>
      </c>
      <c r="L380" s="1">
        <v>315.0</v>
      </c>
      <c r="M380" s="1">
        <v>63.0</v>
      </c>
      <c r="N380" s="1">
        <v>88.0</v>
      </c>
      <c r="O380" s="1" t="s">
        <v>21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627</v>
      </c>
      <c r="B381" s="1" t="s">
        <v>628</v>
      </c>
      <c r="C381" s="1" t="s">
        <v>24</v>
      </c>
      <c r="D381" s="1" t="s">
        <v>30</v>
      </c>
      <c r="E381" s="1" t="s">
        <v>26</v>
      </c>
      <c r="F381" s="1" t="s">
        <v>77</v>
      </c>
      <c r="G381" s="1">
        <v>71.0</v>
      </c>
      <c r="H381" s="1">
        <v>89.0</v>
      </c>
      <c r="I381" s="1">
        <v>83.0</v>
      </c>
      <c r="J381" s="1">
        <v>56.0</v>
      </c>
      <c r="K381" s="1">
        <v>47.0</v>
      </c>
      <c r="L381" s="1">
        <v>346.0</v>
      </c>
      <c r="M381" s="1">
        <v>69.2</v>
      </c>
      <c r="N381" s="1">
        <v>100.0</v>
      </c>
      <c r="O381" s="1" t="s">
        <v>21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629</v>
      </c>
      <c r="B382" s="1" t="s">
        <v>630</v>
      </c>
      <c r="C382" s="1" t="s">
        <v>24</v>
      </c>
      <c r="D382" s="1" t="s">
        <v>25</v>
      </c>
      <c r="E382" s="1" t="s">
        <v>47</v>
      </c>
      <c r="F382" s="1" t="s">
        <v>44</v>
      </c>
      <c r="G382" s="1">
        <v>93.0</v>
      </c>
      <c r="H382" s="1">
        <v>47.0</v>
      </c>
      <c r="I382" s="1">
        <v>76.0</v>
      </c>
      <c r="J382" s="1">
        <v>47.0</v>
      </c>
      <c r="K382" s="1">
        <v>83.0</v>
      </c>
      <c r="L382" s="1">
        <v>346.0</v>
      </c>
      <c r="M382" s="1">
        <v>69.2</v>
      </c>
      <c r="N382" s="1">
        <v>77.0</v>
      </c>
      <c r="O382" s="1" t="s">
        <v>21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631</v>
      </c>
      <c r="B383" s="1" t="s">
        <v>121</v>
      </c>
      <c r="C383" s="1" t="s">
        <v>24</v>
      </c>
      <c r="D383" s="1" t="s">
        <v>18</v>
      </c>
      <c r="E383" s="1" t="s">
        <v>26</v>
      </c>
      <c r="F383" s="1" t="s">
        <v>41</v>
      </c>
      <c r="G383" s="1">
        <v>46.0</v>
      </c>
      <c r="H383" s="1">
        <v>83.0</v>
      </c>
      <c r="I383" s="1">
        <v>54.0</v>
      </c>
      <c r="J383" s="1">
        <v>57.0</v>
      </c>
      <c r="K383" s="1">
        <v>77.0</v>
      </c>
      <c r="L383" s="1">
        <v>317.0</v>
      </c>
      <c r="M383" s="1">
        <v>63.4</v>
      </c>
      <c r="N383" s="1">
        <v>85.0</v>
      </c>
      <c r="O383" s="1" t="s">
        <v>21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632</v>
      </c>
      <c r="B384" s="1" t="s">
        <v>633</v>
      </c>
      <c r="C384" s="1" t="s">
        <v>17</v>
      </c>
      <c r="D384" s="1" t="s">
        <v>54</v>
      </c>
      <c r="E384" s="1" t="s">
        <v>19</v>
      </c>
      <c r="F384" s="1" t="s">
        <v>44</v>
      </c>
      <c r="G384" s="1">
        <v>96.0</v>
      </c>
      <c r="H384" s="1">
        <v>87.0</v>
      </c>
      <c r="I384" s="1">
        <v>77.0</v>
      </c>
      <c r="J384" s="1">
        <v>67.0</v>
      </c>
      <c r="K384" s="1">
        <v>88.0</v>
      </c>
      <c r="L384" s="1">
        <v>415.0</v>
      </c>
      <c r="M384" s="1">
        <v>83.0</v>
      </c>
      <c r="N384" s="1">
        <v>65.0</v>
      </c>
      <c r="O384" s="1" t="s">
        <v>21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634</v>
      </c>
      <c r="B385" s="1" t="s">
        <v>201</v>
      </c>
      <c r="C385" s="1" t="s">
        <v>24</v>
      </c>
      <c r="D385" s="1" t="s">
        <v>54</v>
      </c>
      <c r="E385" s="1" t="s">
        <v>47</v>
      </c>
      <c r="F385" s="1" t="s">
        <v>77</v>
      </c>
      <c r="G385" s="1">
        <v>85.0</v>
      </c>
      <c r="H385" s="1">
        <v>93.0</v>
      </c>
      <c r="I385" s="1">
        <v>65.0</v>
      </c>
      <c r="J385" s="1">
        <v>57.0</v>
      </c>
      <c r="K385" s="1">
        <v>55.0</v>
      </c>
      <c r="L385" s="1">
        <v>355.0</v>
      </c>
      <c r="M385" s="1">
        <v>71.0</v>
      </c>
      <c r="N385" s="1">
        <v>84.0</v>
      </c>
      <c r="O385" s="1" t="s">
        <v>21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635</v>
      </c>
      <c r="B386" s="1" t="s">
        <v>385</v>
      </c>
      <c r="C386" s="1" t="s">
        <v>17</v>
      </c>
      <c r="D386" s="1" t="s">
        <v>54</v>
      </c>
      <c r="E386" s="1" t="s">
        <v>47</v>
      </c>
      <c r="F386" s="1" t="s">
        <v>37</v>
      </c>
      <c r="G386" s="1">
        <v>99.0</v>
      </c>
      <c r="H386" s="1">
        <v>47.0</v>
      </c>
      <c r="I386" s="1">
        <v>60.0</v>
      </c>
      <c r="J386" s="1">
        <v>54.0</v>
      </c>
      <c r="K386" s="1">
        <v>95.0</v>
      </c>
      <c r="L386" s="1">
        <v>355.0</v>
      </c>
      <c r="M386" s="1">
        <v>71.0</v>
      </c>
      <c r="N386" s="1">
        <v>68.0</v>
      </c>
      <c r="O386" s="1" t="s">
        <v>21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636</v>
      </c>
      <c r="B387" s="1" t="s">
        <v>147</v>
      </c>
      <c r="C387" s="1" t="s">
        <v>24</v>
      </c>
      <c r="D387" s="1" t="s">
        <v>54</v>
      </c>
      <c r="E387" s="1" t="s">
        <v>26</v>
      </c>
      <c r="F387" s="1" t="s">
        <v>44</v>
      </c>
      <c r="G387" s="1">
        <v>75.0</v>
      </c>
      <c r="H387" s="1">
        <v>74.0</v>
      </c>
      <c r="I387" s="1">
        <v>76.0</v>
      </c>
      <c r="J387" s="1">
        <v>98.0</v>
      </c>
      <c r="K387" s="1">
        <v>75.0</v>
      </c>
      <c r="L387" s="1">
        <v>398.0</v>
      </c>
      <c r="M387" s="1">
        <v>79.6</v>
      </c>
      <c r="N387" s="1">
        <v>96.0</v>
      </c>
      <c r="O387" s="1" t="s">
        <v>21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637</v>
      </c>
      <c r="B388" s="1" t="s">
        <v>638</v>
      </c>
      <c r="C388" s="1" t="s">
        <v>24</v>
      </c>
      <c r="D388" s="1" t="s">
        <v>40</v>
      </c>
      <c r="E388" s="1" t="s">
        <v>19</v>
      </c>
      <c r="F388" s="1" t="s">
        <v>27</v>
      </c>
      <c r="G388" s="1">
        <v>66.0</v>
      </c>
      <c r="H388" s="1">
        <v>56.0</v>
      </c>
      <c r="I388" s="1">
        <v>82.0</v>
      </c>
      <c r="J388" s="1">
        <v>64.0</v>
      </c>
      <c r="K388" s="1">
        <v>79.0</v>
      </c>
      <c r="L388" s="1">
        <v>347.0</v>
      </c>
      <c r="M388" s="1">
        <v>69.4</v>
      </c>
      <c r="N388" s="1">
        <v>68.0</v>
      </c>
      <c r="O388" s="1" t="s">
        <v>21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639</v>
      </c>
      <c r="B389" s="1" t="s">
        <v>640</v>
      </c>
      <c r="C389" s="1" t="s">
        <v>24</v>
      </c>
      <c r="D389" s="1" t="s">
        <v>40</v>
      </c>
      <c r="E389" s="1" t="s">
        <v>47</v>
      </c>
      <c r="F389" s="1" t="s">
        <v>77</v>
      </c>
      <c r="G389" s="1">
        <v>88.0</v>
      </c>
      <c r="H389" s="1">
        <v>64.0</v>
      </c>
      <c r="I389" s="1">
        <v>52.0</v>
      </c>
      <c r="J389" s="1">
        <v>63.0</v>
      </c>
      <c r="K389" s="1">
        <v>84.0</v>
      </c>
      <c r="L389" s="1">
        <v>351.0</v>
      </c>
      <c r="M389" s="1">
        <v>70.2</v>
      </c>
      <c r="N389" s="1">
        <v>99.0</v>
      </c>
      <c r="O389" s="1" t="s">
        <v>21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641</v>
      </c>
      <c r="B390" s="1" t="s">
        <v>123</v>
      </c>
      <c r="C390" s="1" t="s">
        <v>24</v>
      </c>
      <c r="D390" s="1" t="s">
        <v>30</v>
      </c>
      <c r="E390" s="1" t="s">
        <v>47</v>
      </c>
      <c r="F390" s="1" t="s">
        <v>27</v>
      </c>
      <c r="G390" s="1">
        <v>91.0</v>
      </c>
      <c r="H390" s="1">
        <v>56.0</v>
      </c>
      <c r="I390" s="1">
        <v>80.0</v>
      </c>
      <c r="J390" s="1">
        <v>71.0</v>
      </c>
      <c r="K390" s="1">
        <v>100.0</v>
      </c>
      <c r="L390" s="1">
        <v>398.0</v>
      </c>
      <c r="M390" s="1">
        <v>79.6</v>
      </c>
      <c r="N390" s="1">
        <v>84.0</v>
      </c>
      <c r="O390" s="1" t="s">
        <v>21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642</v>
      </c>
      <c r="B391" s="1" t="s">
        <v>328</v>
      </c>
      <c r="C391" s="1" t="s">
        <v>17</v>
      </c>
      <c r="D391" s="1" t="s">
        <v>25</v>
      </c>
      <c r="E391" s="1" t="s">
        <v>19</v>
      </c>
      <c r="F391" s="1" t="s">
        <v>44</v>
      </c>
      <c r="G391" s="1">
        <v>55.0</v>
      </c>
      <c r="H391" s="1">
        <v>85.0</v>
      </c>
      <c r="I391" s="1">
        <v>81.0</v>
      </c>
      <c r="J391" s="1">
        <v>89.0</v>
      </c>
      <c r="K391" s="1">
        <v>74.0</v>
      </c>
      <c r="L391" s="1">
        <v>384.0</v>
      </c>
      <c r="M391" s="1">
        <v>76.8</v>
      </c>
      <c r="N391" s="1">
        <v>91.0</v>
      </c>
      <c r="O391" s="1" t="s">
        <v>21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643</v>
      </c>
      <c r="B392" s="1" t="s">
        <v>644</v>
      </c>
      <c r="C392" s="1" t="s">
        <v>24</v>
      </c>
      <c r="D392" s="1" t="s">
        <v>18</v>
      </c>
      <c r="E392" s="1" t="s">
        <v>26</v>
      </c>
      <c r="F392" s="1" t="s">
        <v>27</v>
      </c>
      <c r="G392" s="1">
        <v>56.0</v>
      </c>
      <c r="H392" s="1">
        <v>62.0</v>
      </c>
      <c r="I392" s="1">
        <v>72.0</v>
      </c>
      <c r="J392" s="1">
        <v>71.0</v>
      </c>
      <c r="K392" s="1">
        <v>45.0</v>
      </c>
      <c r="L392" s="1">
        <v>306.0</v>
      </c>
      <c r="M392" s="1">
        <v>61.2</v>
      </c>
      <c r="N392" s="1">
        <v>63.0</v>
      </c>
      <c r="O392" s="1" t="s">
        <v>21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645</v>
      </c>
      <c r="B393" s="1" t="s">
        <v>646</v>
      </c>
      <c r="C393" s="1" t="s">
        <v>24</v>
      </c>
      <c r="D393" s="1" t="s">
        <v>40</v>
      </c>
      <c r="E393" s="1" t="s">
        <v>26</v>
      </c>
      <c r="F393" s="1" t="s">
        <v>37</v>
      </c>
      <c r="G393" s="1">
        <v>53.0</v>
      </c>
      <c r="H393" s="1">
        <v>43.0</v>
      </c>
      <c r="I393" s="1">
        <v>92.0</v>
      </c>
      <c r="J393" s="1">
        <v>81.0</v>
      </c>
      <c r="K393" s="1">
        <v>98.0</v>
      </c>
      <c r="L393" s="1">
        <v>367.0</v>
      </c>
      <c r="M393" s="1">
        <v>73.4</v>
      </c>
      <c r="N393" s="1">
        <v>75.0</v>
      </c>
      <c r="O393" s="1" t="s">
        <v>21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647</v>
      </c>
      <c r="B394" s="1" t="s">
        <v>193</v>
      </c>
      <c r="C394" s="1" t="s">
        <v>17</v>
      </c>
      <c r="D394" s="1" t="s">
        <v>18</v>
      </c>
      <c r="E394" s="1" t="s">
        <v>19</v>
      </c>
      <c r="F394" s="1" t="s">
        <v>55</v>
      </c>
      <c r="G394" s="1">
        <v>48.0</v>
      </c>
      <c r="H394" s="1">
        <v>57.0</v>
      </c>
      <c r="I394" s="1">
        <v>94.0</v>
      </c>
      <c r="J394" s="1">
        <v>60.0</v>
      </c>
      <c r="K394" s="1">
        <v>86.0</v>
      </c>
      <c r="L394" s="1">
        <v>345.0</v>
      </c>
      <c r="M394" s="1">
        <v>69.0</v>
      </c>
      <c r="N394" s="1">
        <v>99.0</v>
      </c>
      <c r="O394" s="1" t="s">
        <v>21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648</v>
      </c>
      <c r="B395" s="1" t="s">
        <v>526</v>
      </c>
      <c r="C395" s="1" t="s">
        <v>17</v>
      </c>
      <c r="D395" s="1" t="s">
        <v>40</v>
      </c>
      <c r="E395" s="1" t="s">
        <v>19</v>
      </c>
      <c r="F395" s="1" t="s">
        <v>27</v>
      </c>
      <c r="G395" s="1">
        <v>61.0</v>
      </c>
      <c r="H395" s="1">
        <v>100.0</v>
      </c>
      <c r="I395" s="1">
        <v>73.0</v>
      </c>
      <c r="J395" s="1">
        <v>48.0</v>
      </c>
      <c r="K395" s="1">
        <v>60.0</v>
      </c>
      <c r="L395" s="1">
        <v>342.0</v>
      </c>
      <c r="M395" s="1">
        <v>68.4</v>
      </c>
      <c r="N395" s="1">
        <v>92.0</v>
      </c>
      <c r="O395" s="1" t="s">
        <v>21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649</v>
      </c>
      <c r="B396" s="1" t="s">
        <v>471</v>
      </c>
      <c r="C396" s="1" t="s">
        <v>17</v>
      </c>
      <c r="D396" s="1" t="s">
        <v>54</v>
      </c>
      <c r="E396" s="1" t="s">
        <v>26</v>
      </c>
      <c r="F396" s="1" t="s">
        <v>55</v>
      </c>
      <c r="G396" s="1">
        <v>52.0</v>
      </c>
      <c r="H396" s="1">
        <v>65.0</v>
      </c>
      <c r="I396" s="1">
        <v>89.0</v>
      </c>
      <c r="J396" s="1">
        <v>66.0</v>
      </c>
      <c r="K396" s="1">
        <v>84.0</v>
      </c>
      <c r="L396" s="1">
        <v>356.0</v>
      </c>
      <c r="M396" s="1">
        <v>71.2</v>
      </c>
      <c r="N396" s="1">
        <v>82.0</v>
      </c>
      <c r="O396" s="1" t="s">
        <v>21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650</v>
      </c>
      <c r="B397" s="1" t="s">
        <v>651</v>
      </c>
      <c r="C397" s="1" t="s">
        <v>24</v>
      </c>
      <c r="D397" s="1" t="s">
        <v>25</v>
      </c>
      <c r="E397" s="1" t="s">
        <v>19</v>
      </c>
      <c r="F397" s="1" t="s">
        <v>62</v>
      </c>
      <c r="G397" s="1">
        <v>42.0</v>
      </c>
      <c r="H397" s="1">
        <v>42.0</v>
      </c>
      <c r="I397" s="1">
        <v>52.0</v>
      </c>
      <c r="J397" s="1">
        <v>46.0</v>
      </c>
      <c r="K397" s="1">
        <v>50.0</v>
      </c>
      <c r="L397" s="1">
        <v>232.0</v>
      </c>
      <c r="M397" s="1">
        <v>46.4</v>
      </c>
      <c r="N397" s="1">
        <v>90.0</v>
      </c>
      <c r="O397" s="1" t="s">
        <v>652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653</v>
      </c>
      <c r="B398" s="1" t="s">
        <v>204</v>
      </c>
      <c r="C398" s="1" t="s">
        <v>24</v>
      </c>
      <c r="D398" s="1" t="s">
        <v>25</v>
      </c>
      <c r="E398" s="1" t="s">
        <v>47</v>
      </c>
      <c r="F398" s="1" t="s">
        <v>62</v>
      </c>
      <c r="G398" s="1">
        <v>90.0</v>
      </c>
      <c r="H398" s="1">
        <v>56.0</v>
      </c>
      <c r="I398" s="1">
        <v>84.0</v>
      </c>
      <c r="J398" s="1">
        <v>63.0</v>
      </c>
      <c r="K398" s="1">
        <v>88.0</v>
      </c>
      <c r="L398" s="1">
        <v>381.0</v>
      </c>
      <c r="M398" s="1">
        <v>76.2</v>
      </c>
      <c r="N398" s="1">
        <v>80.0</v>
      </c>
      <c r="O398" s="1" t="s">
        <v>21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654</v>
      </c>
      <c r="B399" s="1" t="s">
        <v>530</v>
      </c>
      <c r="C399" s="1" t="s">
        <v>17</v>
      </c>
      <c r="D399" s="1" t="s">
        <v>40</v>
      </c>
      <c r="E399" s="1" t="s">
        <v>47</v>
      </c>
      <c r="F399" s="1" t="s">
        <v>27</v>
      </c>
      <c r="G399" s="1">
        <v>60.0</v>
      </c>
      <c r="H399" s="1">
        <v>51.0</v>
      </c>
      <c r="I399" s="1">
        <v>91.0</v>
      </c>
      <c r="J399" s="1">
        <v>49.0</v>
      </c>
      <c r="K399" s="1">
        <v>81.0</v>
      </c>
      <c r="L399" s="1">
        <v>332.0</v>
      </c>
      <c r="M399" s="1">
        <v>66.4</v>
      </c>
      <c r="N399" s="1">
        <v>75.0</v>
      </c>
      <c r="O399" s="1" t="s">
        <v>21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655</v>
      </c>
      <c r="B400" s="1" t="s">
        <v>429</v>
      </c>
      <c r="C400" s="1" t="s">
        <v>24</v>
      </c>
      <c r="D400" s="1" t="s">
        <v>18</v>
      </c>
      <c r="E400" s="1" t="s">
        <v>47</v>
      </c>
      <c r="F400" s="1" t="s">
        <v>27</v>
      </c>
      <c r="G400" s="1">
        <v>59.0</v>
      </c>
      <c r="H400" s="1">
        <v>53.0</v>
      </c>
      <c r="I400" s="1">
        <v>97.0</v>
      </c>
      <c r="J400" s="1">
        <v>48.0</v>
      </c>
      <c r="K400" s="1">
        <v>96.0</v>
      </c>
      <c r="L400" s="1">
        <v>353.0</v>
      </c>
      <c r="M400" s="1">
        <v>70.6</v>
      </c>
      <c r="N400" s="1">
        <v>85.0</v>
      </c>
      <c r="O400" s="1" t="s">
        <v>21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656</v>
      </c>
      <c r="B401" s="1" t="s">
        <v>145</v>
      </c>
      <c r="C401" s="1" t="s">
        <v>24</v>
      </c>
      <c r="D401" s="1" t="s">
        <v>30</v>
      </c>
      <c r="E401" s="1" t="s">
        <v>26</v>
      </c>
      <c r="F401" s="1" t="s">
        <v>20</v>
      </c>
      <c r="G401" s="1">
        <v>87.0</v>
      </c>
      <c r="H401" s="1">
        <v>52.0</v>
      </c>
      <c r="I401" s="1">
        <v>98.0</v>
      </c>
      <c r="J401" s="1">
        <v>66.0</v>
      </c>
      <c r="K401" s="1">
        <v>80.0</v>
      </c>
      <c r="L401" s="1">
        <v>383.0</v>
      </c>
      <c r="M401" s="1">
        <v>76.6</v>
      </c>
      <c r="N401" s="1">
        <v>95.0</v>
      </c>
      <c r="O401" s="1" t="s">
        <v>21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657</v>
      </c>
      <c r="B402" s="1" t="s">
        <v>340</v>
      </c>
      <c r="C402" s="1" t="s">
        <v>24</v>
      </c>
      <c r="D402" s="1" t="s">
        <v>30</v>
      </c>
      <c r="E402" s="1" t="s">
        <v>26</v>
      </c>
      <c r="F402" s="1" t="s">
        <v>55</v>
      </c>
      <c r="G402" s="1">
        <v>90.0</v>
      </c>
      <c r="H402" s="1">
        <v>76.0</v>
      </c>
      <c r="I402" s="1">
        <v>70.0</v>
      </c>
      <c r="J402" s="1">
        <v>96.0</v>
      </c>
      <c r="K402" s="1">
        <v>50.0</v>
      </c>
      <c r="L402" s="1">
        <v>382.0</v>
      </c>
      <c r="M402" s="1">
        <v>76.4</v>
      </c>
      <c r="N402" s="1">
        <v>71.0</v>
      </c>
      <c r="O402" s="1" t="s">
        <v>21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658</v>
      </c>
      <c r="B403" s="1" t="s">
        <v>167</v>
      </c>
      <c r="C403" s="1" t="s">
        <v>24</v>
      </c>
      <c r="D403" s="1" t="s">
        <v>40</v>
      </c>
      <c r="E403" s="1" t="s">
        <v>19</v>
      </c>
      <c r="F403" s="1" t="s">
        <v>37</v>
      </c>
      <c r="G403" s="1">
        <v>63.0</v>
      </c>
      <c r="H403" s="1">
        <v>55.0</v>
      </c>
      <c r="I403" s="1">
        <v>98.0</v>
      </c>
      <c r="J403" s="1">
        <v>65.0</v>
      </c>
      <c r="K403" s="1">
        <v>47.0</v>
      </c>
      <c r="L403" s="1">
        <v>328.0</v>
      </c>
      <c r="M403" s="1">
        <v>65.6</v>
      </c>
      <c r="N403" s="1">
        <v>82.0</v>
      </c>
      <c r="O403" s="1" t="s">
        <v>21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659</v>
      </c>
      <c r="B404" s="1" t="s">
        <v>564</v>
      </c>
      <c r="C404" s="1" t="s">
        <v>17</v>
      </c>
      <c r="D404" s="1" t="s">
        <v>30</v>
      </c>
      <c r="E404" s="1" t="s">
        <v>47</v>
      </c>
      <c r="F404" s="1" t="s">
        <v>62</v>
      </c>
      <c r="G404" s="1">
        <v>78.0</v>
      </c>
      <c r="H404" s="1">
        <v>41.0</v>
      </c>
      <c r="I404" s="1">
        <v>44.0</v>
      </c>
      <c r="J404" s="1">
        <v>52.0</v>
      </c>
      <c r="K404" s="1">
        <v>89.0</v>
      </c>
      <c r="L404" s="1">
        <v>304.0</v>
      </c>
      <c r="M404" s="1">
        <v>60.8</v>
      </c>
      <c r="N404" s="1">
        <v>92.0</v>
      </c>
      <c r="O404" s="1" t="s">
        <v>21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660</v>
      </c>
      <c r="B405" s="1" t="s">
        <v>183</v>
      </c>
      <c r="C405" s="1" t="s">
        <v>17</v>
      </c>
      <c r="D405" s="1" t="s">
        <v>40</v>
      </c>
      <c r="E405" s="1" t="s">
        <v>19</v>
      </c>
      <c r="F405" s="1" t="s">
        <v>44</v>
      </c>
      <c r="G405" s="1">
        <v>66.0</v>
      </c>
      <c r="H405" s="1">
        <v>50.0</v>
      </c>
      <c r="I405" s="1">
        <v>72.0</v>
      </c>
      <c r="J405" s="1">
        <v>82.0</v>
      </c>
      <c r="K405" s="1">
        <v>83.0</v>
      </c>
      <c r="L405" s="1">
        <v>353.0</v>
      </c>
      <c r="M405" s="1">
        <v>70.6</v>
      </c>
      <c r="N405" s="1">
        <v>74.0</v>
      </c>
      <c r="O405" s="1" t="s">
        <v>21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661</v>
      </c>
      <c r="B406" s="1" t="s">
        <v>514</v>
      </c>
      <c r="C406" s="1" t="s">
        <v>24</v>
      </c>
      <c r="D406" s="1" t="s">
        <v>25</v>
      </c>
      <c r="E406" s="1" t="s">
        <v>19</v>
      </c>
      <c r="F406" s="1" t="s">
        <v>41</v>
      </c>
      <c r="G406" s="1">
        <v>53.0</v>
      </c>
      <c r="H406" s="1">
        <v>99.0</v>
      </c>
      <c r="I406" s="1">
        <v>49.0</v>
      </c>
      <c r="J406" s="1">
        <v>86.0</v>
      </c>
      <c r="K406" s="1">
        <v>91.0</v>
      </c>
      <c r="L406" s="1">
        <v>378.0</v>
      </c>
      <c r="M406" s="1">
        <v>75.6</v>
      </c>
      <c r="N406" s="1">
        <v>66.0</v>
      </c>
      <c r="O406" s="1" t="s">
        <v>21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662</v>
      </c>
      <c r="B407" s="1" t="s">
        <v>471</v>
      </c>
      <c r="C407" s="1" t="s">
        <v>17</v>
      </c>
      <c r="D407" s="1" t="s">
        <v>30</v>
      </c>
      <c r="E407" s="1" t="s">
        <v>47</v>
      </c>
      <c r="F407" s="1" t="s">
        <v>20</v>
      </c>
      <c r="G407" s="1">
        <v>67.0</v>
      </c>
      <c r="H407" s="1">
        <v>76.0</v>
      </c>
      <c r="I407" s="1">
        <v>51.0</v>
      </c>
      <c r="J407" s="1">
        <v>52.0</v>
      </c>
      <c r="K407" s="1">
        <v>87.0</v>
      </c>
      <c r="L407" s="1">
        <v>333.0</v>
      </c>
      <c r="M407" s="1">
        <v>66.6</v>
      </c>
      <c r="N407" s="1">
        <v>83.0</v>
      </c>
      <c r="O407" s="1" t="s">
        <v>21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663</v>
      </c>
      <c r="B408" s="1" t="s">
        <v>153</v>
      </c>
      <c r="C408" s="1" t="s">
        <v>17</v>
      </c>
      <c r="D408" s="1" t="s">
        <v>54</v>
      </c>
      <c r="E408" s="1" t="s">
        <v>26</v>
      </c>
      <c r="F408" s="1" t="s">
        <v>55</v>
      </c>
      <c r="G408" s="1">
        <v>100.0</v>
      </c>
      <c r="H408" s="1">
        <v>92.0</v>
      </c>
      <c r="I408" s="1">
        <v>94.0</v>
      </c>
      <c r="J408" s="1">
        <v>64.0</v>
      </c>
      <c r="K408" s="1">
        <v>79.0</v>
      </c>
      <c r="L408" s="1">
        <v>429.0</v>
      </c>
      <c r="M408" s="1">
        <v>85.8</v>
      </c>
      <c r="N408" s="1">
        <v>68.0</v>
      </c>
      <c r="O408" s="1" t="s">
        <v>21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664</v>
      </c>
      <c r="B409" s="1" t="s">
        <v>161</v>
      </c>
      <c r="C409" s="1" t="s">
        <v>24</v>
      </c>
      <c r="D409" s="1" t="s">
        <v>54</v>
      </c>
      <c r="E409" s="1" t="s">
        <v>19</v>
      </c>
      <c r="F409" s="1" t="s">
        <v>77</v>
      </c>
      <c r="G409" s="1">
        <v>40.0</v>
      </c>
      <c r="H409" s="1">
        <v>80.0</v>
      </c>
      <c r="I409" s="1">
        <v>97.0</v>
      </c>
      <c r="J409" s="1">
        <v>94.0</v>
      </c>
      <c r="K409" s="1">
        <v>96.0</v>
      </c>
      <c r="L409" s="1">
        <v>407.0</v>
      </c>
      <c r="M409" s="1">
        <v>81.4</v>
      </c>
      <c r="N409" s="1">
        <v>74.0</v>
      </c>
      <c r="O409" s="1" t="s">
        <v>21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665</v>
      </c>
      <c r="B410" s="1" t="s">
        <v>167</v>
      </c>
      <c r="C410" s="1" t="s">
        <v>17</v>
      </c>
      <c r="D410" s="1" t="s">
        <v>30</v>
      </c>
      <c r="E410" s="1" t="s">
        <v>19</v>
      </c>
      <c r="F410" s="1" t="s">
        <v>27</v>
      </c>
      <c r="G410" s="1">
        <v>75.0</v>
      </c>
      <c r="H410" s="1">
        <v>80.0</v>
      </c>
      <c r="I410" s="1">
        <v>100.0</v>
      </c>
      <c r="J410" s="1">
        <v>67.0</v>
      </c>
      <c r="K410" s="1">
        <v>91.0</v>
      </c>
      <c r="L410" s="1">
        <v>413.0</v>
      </c>
      <c r="M410" s="1">
        <v>82.6</v>
      </c>
      <c r="N410" s="1">
        <v>97.0</v>
      </c>
      <c r="O410" s="1" t="s">
        <v>21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666</v>
      </c>
      <c r="B411" s="1" t="s">
        <v>383</v>
      </c>
      <c r="C411" s="1" t="s">
        <v>24</v>
      </c>
      <c r="D411" s="1" t="s">
        <v>25</v>
      </c>
      <c r="E411" s="1" t="s">
        <v>19</v>
      </c>
      <c r="F411" s="1" t="s">
        <v>20</v>
      </c>
      <c r="G411" s="1">
        <v>94.0</v>
      </c>
      <c r="H411" s="1">
        <v>70.0</v>
      </c>
      <c r="I411" s="1">
        <v>55.0</v>
      </c>
      <c r="J411" s="1">
        <v>91.0</v>
      </c>
      <c r="K411" s="1">
        <v>87.0</v>
      </c>
      <c r="L411" s="1">
        <v>397.0</v>
      </c>
      <c r="M411" s="1">
        <v>79.4</v>
      </c>
      <c r="N411" s="1">
        <v>62.0</v>
      </c>
      <c r="O411" s="1" t="s">
        <v>21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667</v>
      </c>
      <c r="B412" s="1" t="s">
        <v>534</v>
      </c>
      <c r="C412" s="1" t="s">
        <v>24</v>
      </c>
      <c r="D412" s="1" t="s">
        <v>30</v>
      </c>
      <c r="E412" s="1" t="s">
        <v>19</v>
      </c>
      <c r="F412" s="1" t="s">
        <v>41</v>
      </c>
      <c r="G412" s="1">
        <v>76.0</v>
      </c>
      <c r="H412" s="1">
        <v>41.0</v>
      </c>
      <c r="I412" s="1">
        <v>49.0</v>
      </c>
      <c r="J412" s="1">
        <v>54.0</v>
      </c>
      <c r="K412" s="1">
        <v>48.0</v>
      </c>
      <c r="L412" s="1">
        <v>268.0</v>
      </c>
      <c r="M412" s="1">
        <v>53.6</v>
      </c>
      <c r="N412" s="1">
        <v>88.0</v>
      </c>
      <c r="O412" s="1" t="s">
        <v>21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668</v>
      </c>
      <c r="B413" s="1" t="s">
        <v>23</v>
      </c>
      <c r="C413" s="1" t="s">
        <v>24</v>
      </c>
      <c r="D413" s="1" t="s">
        <v>30</v>
      </c>
      <c r="E413" s="1" t="s">
        <v>19</v>
      </c>
      <c r="F413" s="1" t="s">
        <v>20</v>
      </c>
      <c r="G413" s="1">
        <v>40.0</v>
      </c>
      <c r="H413" s="1">
        <v>57.0</v>
      </c>
      <c r="I413" s="1">
        <v>62.0</v>
      </c>
      <c r="J413" s="1">
        <v>43.0</v>
      </c>
      <c r="K413" s="1">
        <v>70.0</v>
      </c>
      <c r="L413" s="1">
        <v>272.0</v>
      </c>
      <c r="M413" s="1">
        <v>54.4</v>
      </c>
      <c r="N413" s="1">
        <v>60.0</v>
      </c>
      <c r="O413" s="1" t="s">
        <v>21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669</v>
      </c>
      <c r="B414" s="1" t="s">
        <v>333</v>
      </c>
      <c r="C414" s="1" t="s">
        <v>24</v>
      </c>
      <c r="D414" s="1" t="s">
        <v>30</v>
      </c>
      <c r="E414" s="1" t="s">
        <v>26</v>
      </c>
      <c r="F414" s="1" t="s">
        <v>55</v>
      </c>
      <c r="G414" s="1">
        <v>61.0</v>
      </c>
      <c r="H414" s="1">
        <v>78.0</v>
      </c>
      <c r="I414" s="1">
        <v>100.0</v>
      </c>
      <c r="J414" s="1">
        <v>92.0</v>
      </c>
      <c r="K414" s="1">
        <v>45.0</v>
      </c>
      <c r="L414" s="1">
        <v>376.0</v>
      </c>
      <c r="M414" s="1">
        <v>75.2</v>
      </c>
      <c r="N414" s="1">
        <v>82.0</v>
      </c>
      <c r="O414" s="1" t="s">
        <v>21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670</v>
      </c>
      <c r="B415" s="1" t="s">
        <v>23</v>
      </c>
      <c r="C415" s="1" t="s">
        <v>17</v>
      </c>
      <c r="D415" s="1" t="s">
        <v>25</v>
      </c>
      <c r="E415" s="1" t="s">
        <v>47</v>
      </c>
      <c r="F415" s="1" t="s">
        <v>41</v>
      </c>
      <c r="G415" s="1">
        <v>54.0</v>
      </c>
      <c r="H415" s="1">
        <v>93.0</v>
      </c>
      <c r="I415" s="1">
        <v>98.0</v>
      </c>
      <c r="J415" s="1">
        <v>85.0</v>
      </c>
      <c r="K415" s="1">
        <v>60.0</v>
      </c>
      <c r="L415" s="1">
        <v>390.0</v>
      </c>
      <c r="M415" s="1">
        <v>78.0</v>
      </c>
      <c r="N415" s="1">
        <v>99.0</v>
      </c>
      <c r="O415" s="1" t="s">
        <v>21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671</v>
      </c>
      <c r="B416" s="1" t="s">
        <v>191</v>
      </c>
      <c r="C416" s="1" t="s">
        <v>24</v>
      </c>
      <c r="D416" s="1" t="s">
        <v>30</v>
      </c>
      <c r="E416" s="1" t="s">
        <v>26</v>
      </c>
      <c r="F416" s="1" t="s">
        <v>27</v>
      </c>
      <c r="G416" s="1">
        <v>71.0</v>
      </c>
      <c r="H416" s="1">
        <v>70.0</v>
      </c>
      <c r="I416" s="1">
        <v>43.0</v>
      </c>
      <c r="J416" s="1">
        <v>50.0</v>
      </c>
      <c r="K416" s="1">
        <v>66.0</v>
      </c>
      <c r="L416" s="1">
        <v>300.0</v>
      </c>
      <c r="M416" s="1">
        <v>60.0</v>
      </c>
      <c r="N416" s="1">
        <v>80.0</v>
      </c>
      <c r="O416" s="1" t="s">
        <v>21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672</v>
      </c>
      <c r="B417" s="1" t="s">
        <v>167</v>
      </c>
      <c r="C417" s="1" t="s">
        <v>17</v>
      </c>
      <c r="D417" s="1" t="s">
        <v>25</v>
      </c>
      <c r="E417" s="1" t="s">
        <v>47</v>
      </c>
      <c r="F417" s="1" t="s">
        <v>27</v>
      </c>
      <c r="G417" s="1">
        <v>74.0</v>
      </c>
      <c r="H417" s="1">
        <v>75.0</v>
      </c>
      <c r="I417" s="1">
        <v>90.0</v>
      </c>
      <c r="J417" s="1">
        <v>56.0</v>
      </c>
      <c r="K417" s="1">
        <v>62.0</v>
      </c>
      <c r="L417" s="1">
        <v>357.0</v>
      </c>
      <c r="M417" s="1">
        <v>71.4</v>
      </c>
      <c r="N417" s="1">
        <v>91.0</v>
      </c>
      <c r="O417" s="1" t="s">
        <v>21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673</v>
      </c>
      <c r="B418" s="1" t="s">
        <v>291</v>
      </c>
      <c r="C418" s="1" t="s">
        <v>24</v>
      </c>
      <c r="D418" s="1" t="s">
        <v>30</v>
      </c>
      <c r="E418" s="1" t="s">
        <v>47</v>
      </c>
      <c r="F418" s="1" t="s">
        <v>37</v>
      </c>
      <c r="G418" s="1">
        <v>40.0</v>
      </c>
      <c r="H418" s="1">
        <v>76.0</v>
      </c>
      <c r="I418" s="1">
        <v>98.0</v>
      </c>
      <c r="J418" s="1">
        <v>80.0</v>
      </c>
      <c r="K418" s="1">
        <v>46.0</v>
      </c>
      <c r="L418" s="1">
        <v>340.0</v>
      </c>
      <c r="M418" s="1">
        <v>68.0</v>
      </c>
      <c r="N418" s="1">
        <v>72.0</v>
      </c>
      <c r="O418" s="1" t="s">
        <v>21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674</v>
      </c>
      <c r="B419" s="1" t="s">
        <v>74</v>
      </c>
      <c r="C419" s="1" t="s">
        <v>24</v>
      </c>
      <c r="D419" s="1" t="s">
        <v>18</v>
      </c>
      <c r="E419" s="1" t="s">
        <v>47</v>
      </c>
      <c r="F419" s="1" t="s">
        <v>44</v>
      </c>
      <c r="G419" s="1">
        <v>41.0</v>
      </c>
      <c r="H419" s="1">
        <v>61.0</v>
      </c>
      <c r="I419" s="1">
        <v>75.0</v>
      </c>
      <c r="J419" s="1">
        <v>74.0</v>
      </c>
      <c r="K419" s="1">
        <v>74.0</v>
      </c>
      <c r="L419" s="1">
        <v>325.0</v>
      </c>
      <c r="M419" s="1">
        <v>65.0</v>
      </c>
      <c r="N419" s="1">
        <v>84.0</v>
      </c>
      <c r="O419" s="1" t="s">
        <v>21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675</v>
      </c>
      <c r="B420" s="1" t="s">
        <v>459</v>
      </c>
      <c r="C420" s="1" t="s">
        <v>24</v>
      </c>
      <c r="D420" s="1" t="s">
        <v>25</v>
      </c>
      <c r="E420" s="1" t="s">
        <v>19</v>
      </c>
      <c r="F420" s="1" t="s">
        <v>20</v>
      </c>
      <c r="G420" s="1">
        <v>45.0</v>
      </c>
      <c r="H420" s="1">
        <v>78.0</v>
      </c>
      <c r="I420" s="1">
        <v>65.0</v>
      </c>
      <c r="J420" s="1">
        <v>86.0</v>
      </c>
      <c r="K420" s="1">
        <v>79.0</v>
      </c>
      <c r="L420" s="1">
        <v>353.0</v>
      </c>
      <c r="M420" s="1">
        <v>70.6</v>
      </c>
      <c r="N420" s="1">
        <v>76.0</v>
      </c>
      <c r="O420" s="1" t="s">
        <v>21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676</v>
      </c>
      <c r="B421" s="1" t="s">
        <v>268</v>
      </c>
      <c r="C421" s="1" t="s">
        <v>24</v>
      </c>
      <c r="D421" s="1" t="s">
        <v>54</v>
      </c>
      <c r="E421" s="1" t="s">
        <v>47</v>
      </c>
      <c r="F421" s="1" t="s">
        <v>37</v>
      </c>
      <c r="G421" s="1">
        <v>97.0</v>
      </c>
      <c r="H421" s="1">
        <v>74.0</v>
      </c>
      <c r="I421" s="1">
        <v>85.0</v>
      </c>
      <c r="J421" s="1">
        <v>86.0</v>
      </c>
      <c r="K421" s="1">
        <v>85.0</v>
      </c>
      <c r="L421" s="1">
        <v>427.0</v>
      </c>
      <c r="M421" s="1">
        <v>85.4</v>
      </c>
      <c r="N421" s="1">
        <v>92.0</v>
      </c>
      <c r="O421" s="1" t="s">
        <v>21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677</v>
      </c>
      <c r="B422" s="1" t="s">
        <v>467</v>
      </c>
      <c r="C422" s="1" t="s">
        <v>17</v>
      </c>
      <c r="D422" s="1" t="s">
        <v>25</v>
      </c>
      <c r="E422" s="1" t="s">
        <v>47</v>
      </c>
      <c r="F422" s="1" t="s">
        <v>20</v>
      </c>
      <c r="G422" s="1">
        <v>63.0</v>
      </c>
      <c r="H422" s="1">
        <v>60.0</v>
      </c>
      <c r="I422" s="1">
        <v>63.0</v>
      </c>
      <c r="J422" s="1">
        <v>57.0</v>
      </c>
      <c r="K422" s="1">
        <v>49.0</v>
      </c>
      <c r="L422" s="1">
        <v>292.0</v>
      </c>
      <c r="M422" s="1">
        <v>58.4</v>
      </c>
      <c r="N422" s="1">
        <v>87.0</v>
      </c>
      <c r="O422" s="1" t="s">
        <v>21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678</v>
      </c>
      <c r="B423" s="1" t="s">
        <v>277</v>
      </c>
      <c r="C423" s="1" t="s">
        <v>24</v>
      </c>
      <c r="D423" s="1" t="s">
        <v>30</v>
      </c>
      <c r="E423" s="1" t="s">
        <v>19</v>
      </c>
      <c r="F423" s="1" t="s">
        <v>77</v>
      </c>
      <c r="G423" s="1">
        <v>43.0</v>
      </c>
      <c r="H423" s="1">
        <v>43.0</v>
      </c>
      <c r="I423" s="1">
        <v>67.0</v>
      </c>
      <c r="J423" s="1">
        <v>66.0</v>
      </c>
      <c r="K423" s="1">
        <v>47.0</v>
      </c>
      <c r="L423" s="1">
        <v>266.0</v>
      </c>
      <c r="M423" s="1">
        <v>53.2</v>
      </c>
      <c r="N423" s="1">
        <v>97.0</v>
      </c>
      <c r="O423" s="1" t="s">
        <v>21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679</v>
      </c>
      <c r="B424" s="1" t="s">
        <v>548</v>
      </c>
      <c r="C424" s="1" t="s">
        <v>24</v>
      </c>
      <c r="D424" s="1" t="s">
        <v>30</v>
      </c>
      <c r="E424" s="1" t="s">
        <v>19</v>
      </c>
      <c r="F424" s="1" t="s">
        <v>62</v>
      </c>
      <c r="G424" s="1">
        <v>83.0</v>
      </c>
      <c r="H424" s="1">
        <v>86.0</v>
      </c>
      <c r="I424" s="1">
        <v>83.0</v>
      </c>
      <c r="J424" s="1">
        <v>82.0</v>
      </c>
      <c r="K424" s="1">
        <v>58.0</v>
      </c>
      <c r="L424" s="1">
        <v>392.0</v>
      </c>
      <c r="M424" s="1">
        <v>78.4</v>
      </c>
      <c r="N424" s="1">
        <v>78.0</v>
      </c>
      <c r="O424" s="1" t="s">
        <v>21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680</v>
      </c>
      <c r="B425" s="1" t="s">
        <v>508</v>
      </c>
      <c r="C425" s="1" t="s">
        <v>24</v>
      </c>
      <c r="D425" s="1" t="s">
        <v>25</v>
      </c>
      <c r="E425" s="1" t="s">
        <v>47</v>
      </c>
      <c r="F425" s="1" t="s">
        <v>55</v>
      </c>
      <c r="G425" s="1">
        <v>41.0</v>
      </c>
      <c r="H425" s="1">
        <v>47.0</v>
      </c>
      <c r="I425" s="1">
        <v>74.0</v>
      </c>
      <c r="J425" s="1">
        <v>96.0</v>
      </c>
      <c r="K425" s="1">
        <v>48.0</v>
      </c>
      <c r="L425" s="1">
        <v>306.0</v>
      </c>
      <c r="M425" s="1">
        <v>61.2</v>
      </c>
      <c r="N425" s="1">
        <v>95.0</v>
      </c>
      <c r="O425" s="1" t="s">
        <v>21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681</v>
      </c>
      <c r="B426" s="1" t="s">
        <v>256</v>
      </c>
      <c r="C426" s="1" t="s">
        <v>24</v>
      </c>
      <c r="D426" s="1" t="s">
        <v>30</v>
      </c>
      <c r="E426" s="1" t="s">
        <v>19</v>
      </c>
      <c r="F426" s="1" t="s">
        <v>41</v>
      </c>
      <c r="G426" s="1">
        <v>55.0</v>
      </c>
      <c r="H426" s="1">
        <v>70.0</v>
      </c>
      <c r="I426" s="1">
        <v>61.0</v>
      </c>
      <c r="J426" s="1">
        <v>80.0</v>
      </c>
      <c r="K426" s="1">
        <v>58.0</v>
      </c>
      <c r="L426" s="1">
        <v>324.0</v>
      </c>
      <c r="M426" s="1">
        <v>64.8</v>
      </c>
      <c r="N426" s="1">
        <v>91.0</v>
      </c>
      <c r="O426" s="1" t="s">
        <v>21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682</v>
      </c>
      <c r="B427" s="1" t="s">
        <v>683</v>
      </c>
      <c r="C427" s="1" t="s">
        <v>24</v>
      </c>
      <c r="D427" s="1" t="s">
        <v>30</v>
      </c>
      <c r="E427" s="1" t="s">
        <v>19</v>
      </c>
      <c r="F427" s="1" t="s">
        <v>55</v>
      </c>
      <c r="G427" s="1">
        <v>77.0</v>
      </c>
      <c r="H427" s="1">
        <v>44.0</v>
      </c>
      <c r="I427" s="1">
        <v>84.0</v>
      </c>
      <c r="J427" s="1">
        <v>40.0</v>
      </c>
      <c r="K427" s="1">
        <v>88.0</v>
      </c>
      <c r="L427" s="1">
        <v>333.0</v>
      </c>
      <c r="M427" s="1">
        <v>66.6</v>
      </c>
      <c r="N427" s="1">
        <v>96.0</v>
      </c>
      <c r="O427" s="1" t="s">
        <v>21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684</v>
      </c>
      <c r="B428" s="1" t="s">
        <v>595</v>
      </c>
      <c r="C428" s="1" t="s">
        <v>17</v>
      </c>
      <c r="D428" s="1" t="s">
        <v>25</v>
      </c>
      <c r="E428" s="1" t="s">
        <v>19</v>
      </c>
      <c r="F428" s="1" t="s">
        <v>55</v>
      </c>
      <c r="G428" s="1">
        <v>95.0</v>
      </c>
      <c r="H428" s="1">
        <v>62.0</v>
      </c>
      <c r="I428" s="1">
        <v>63.0</v>
      </c>
      <c r="J428" s="1">
        <v>74.0</v>
      </c>
      <c r="K428" s="1">
        <v>97.0</v>
      </c>
      <c r="L428" s="1">
        <v>391.0</v>
      </c>
      <c r="M428" s="1">
        <v>78.2</v>
      </c>
      <c r="N428" s="1">
        <v>79.0</v>
      </c>
      <c r="O428" s="1" t="s">
        <v>21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685</v>
      </c>
      <c r="B429" s="1" t="s">
        <v>208</v>
      </c>
      <c r="C429" s="1" t="s">
        <v>24</v>
      </c>
      <c r="D429" s="1" t="s">
        <v>18</v>
      </c>
      <c r="E429" s="1" t="s">
        <v>26</v>
      </c>
      <c r="F429" s="1" t="s">
        <v>41</v>
      </c>
      <c r="G429" s="1">
        <v>83.0</v>
      </c>
      <c r="H429" s="1">
        <v>86.0</v>
      </c>
      <c r="I429" s="1">
        <v>51.0</v>
      </c>
      <c r="J429" s="1">
        <v>84.0</v>
      </c>
      <c r="K429" s="1">
        <v>85.0</v>
      </c>
      <c r="L429" s="1">
        <v>389.0</v>
      </c>
      <c r="M429" s="1">
        <v>77.8</v>
      </c>
      <c r="N429" s="1">
        <v>61.0</v>
      </c>
      <c r="O429" s="1" t="s">
        <v>21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686</v>
      </c>
      <c r="B430" s="1" t="s">
        <v>561</v>
      </c>
      <c r="C430" s="1" t="s">
        <v>24</v>
      </c>
      <c r="D430" s="1" t="s">
        <v>40</v>
      </c>
      <c r="E430" s="1" t="s">
        <v>47</v>
      </c>
      <c r="F430" s="1" t="s">
        <v>41</v>
      </c>
      <c r="G430" s="1">
        <v>48.0</v>
      </c>
      <c r="H430" s="1">
        <v>72.0</v>
      </c>
      <c r="I430" s="1">
        <v>87.0</v>
      </c>
      <c r="J430" s="1">
        <v>78.0</v>
      </c>
      <c r="K430" s="1">
        <v>47.0</v>
      </c>
      <c r="L430" s="1">
        <v>332.0</v>
      </c>
      <c r="M430" s="1">
        <v>66.4</v>
      </c>
      <c r="N430" s="1">
        <v>99.0</v>
      </c>
      <c r="O430" s="1" t="s">
        <v>21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687</v>
      </c>
      <c r="B431" s="1" t="s">
        <v>324</v>
      </c>
      <c r="C431" s="1" t="s">
        <v>17</v>
      </c>
      <c r="D431" s="1" t="s">
        <v>40</v>
      </c>
      <c r="E431" s="1" t="s">
        <v>19</v>
      </c>
      <c r="F431" s="1" t="s">
        <v>41</v>
      </c>
      <c r="G431" s="1">
        <v>55.0</v>
      </c>
      <c r="H431" s="1">
        <v>83.0</v>
      </c>
      <c r="I431" s="1">
        <v>99.0</v>
      </c>
      <c r="J431" s="1">
        <v>53.0</v>
      </c>
      <c r="K431" s="1">
        <v>49.0</v>
      </c>
      <c r="L431" s="1">
        <v>339.0</v>
      </c>
      <c r="M431" s="1">
        <v>67.8</v>
      </c>
      <c r="N431" s="1">
        <v>84.0</v>
      </c>
      <c r="O431" s="1" t="s">
        <v>21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688</v>
      </c>
      <c r="B432" s="1" t="s">
        <v>689</v>
      </c>
      <c r="C432" s="1" t="s">
        <v>24</v>
      </c>
      <c r="D432" s="1" t="s">
        <v>54</v>
      </c>
      <c r="E432" s="1" t="s">
        <v>19</v>
      </c>
      <c r="F432" s="1" t="s">
        <v>44</v>
      </c>
      <c r="G432" s="1">
        <v>82.0</v>
      </c>
      <c r="H432" s="1">
        <v>78.0</v>
      </c>
      <c r="I432" s="1">
        <v>42.0</v>
      </c>
      <c r="J432" s="1">
        <v>84.0</v>
      </c>
      <c r="K432" s="1">
        <v>52.0</v>
      </c>
      <c r="L432" s="1">
        <v>338.0</v>
      </c>
      <c r="M432" s="1">
        <v>67.6</v>
      </c>
      <c r="N432" s="1">
        <v>88.0</v>
      </c>
      <c r="O432" s="1" t="s">
        <v>21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690</v>
      </c>
      <c r="B433" s="1" t="s">
        <v>628</v>
      </c>
      <c r="C433" s="1" t="s">
        <v>24</v>
      </c>
      <c r="D433" s="1" t="s">
        <v>40</v>
      </c>
      <c r="E433" s="1" t="s">
        <v>26</v>
      </c>
      <c r="F433" s="1" t="s">
        <v>20</v>
      </c>
      <c r="G433" s="1">
        <v>71.0</v>
      </c>
      <c r="H433" s="1">
        <v>97.0</v>
      </c>
      <c r="I433" s="1">
        <v>92.0</v>
      </c>
      <c r="J433" s="1">
        <v>53.0</v>
      </c>
      <c r="K433" s="1">
        <v>97.0</v>
      </c>
      <c r="L433" s="1">
        <v>410.0</v>
      </c>
      <c r="M433" s="1">
        <v>82.0</v>
      </c>
      <c r="N433" s="1">
        <v>87.0</v>
      </c>
      <c r="O433" s="1" t="s">
        <v>21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691</v>
      </c>
      <c r="B434" s="1" t="s">
        <v>99</v>
      </c>
      <c r="C434" s="1" t="s">
        <v>24</v>
      </c>
      <c r="D434" s="1" t="s">
        <v>40</v>
      </c>
      <c r="E434" s="1" t="s">
        <v>19</v>
      </c>
      <c r="F434" s="1" t="s">
        <v>37</v>
      </c>
      <c r="G434" s="1">
        <v>59.0</v>
      </c>
      <c r="H434" s="1">
        <v>45.0</v>
      </c>
      <c r="I434" s="1">
        <v>50.0</v>
      </c>
      <c r="J434" s="1">
        <v>86.0</v>
      </c>
      <c r="K434" s="1">
        <v>50.0</v>
      </c>
      <c r="L434" s="1">
        <v>290.0</v>
      </c>
      <c r="M434" s="1">
        <v>58.0</v>
      </c>
      <c r="N434" s="1">
        <v>88.0</v>
      </c>
      <c r="O434" s="1" t="s">
        <v>21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692</v>
      </c>
      <c r="B435" s="1" t="s">
        <v>29</v>
      </c>
      <c r="C435" s="1" t="s">
        <v>17</v>
      </c>
      <c r="D435" s="1" t="s">
        <v>18</v>
      </c>
      <c r="E435" s="1" t="s">
        <v>47</v>
      </c>
      <c r="F435" s="1" t="s">
        <v>62</v>
      </c>
      <c r="G435" s="1">
        <v>63.0</v>
      </c>
      <c r="H435" s="1">
        <v>75.0</v>
      </c>
      <c r="I435" s="1">
        <v>77.0</v>
      </c>
      <c r="J435" s="1">
        <v>67.0</v>
      </c>
      <c r="K435" s="1">
        <v>47.0</v>
      </c>
      <c r="L435" s="1">
        <v>329.0</v>
      </c>
      <c r="M435" s="1">
        <v>65.8</v>
      </c>
      <c r="N435" s="1">
        <v>95.0</v>
      </c>
      <c r="O435" s="1" t="s">
        <v>21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693</v>
      </c>
      <c r="B436" s="1" t="s">
        <v>514</v>
      </c>
      <c r="C436" s="1" t="s">
        <v>17</v>
      </c>
      <c r="D436" s="1" t="s">
        <v>18</v>
      </c>
      <c r="E436" s="1" t="s">
        <v>47</v>
      </c>
      <c r="F436" s="1" t="s">
        <v>37</v>
      </c>
      <c r="G436" s="1">
        <v>69.0</v>
      </c>
      <c r="H436" s="1">
        <v>59.0</v>
      </c>
      <c r="I436" s="1">
        <v>48.0</v>
      </c>
      <c r="J436" s="1">
        <v>97.0</v>
      </c>
      <c r="K436" s="1">
        <v>67.0</v>
      </c>
      <c r="L436" s="1">
        <v>340.0</v>
      </c>
      <c r="M436" s="1">
        <v>68.0</v>
      </c>
      <c r="N436" s="1">
        <v>96.0</v>
      </c>
      <c r="O436" s="1" t="s">
        <v>21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694</v>
      </c>
      <c r="B437" s="1" t="s">
        <v>695</v>
      </c>
      <c r="C437" s="1" t="s">
        <v>24</v>
      </c>
      <c r="D437" s="1" t="s">
        <v>30</v>
      </c>
      <c r="E437" s="1" t="s">
        <v>26</v>
      </c>
      <c r="F437" s="1" t="s">
        <v>77</v>
      </c>
      <c r="G437" s="1">
        <v>70.0</v>
      </c>
      <c r="H437" s="1">
        <v>70.0</v>
      </c>
      <c r="I437" s="1">
        <v>86.0</v>
      </c>
      <c r="J437" s="1">
        <v>41.0</v>
      </c>
      <c r="K437" s="1">
        <v>96.0</v>
      </c>
      <c r="L437" s="1">
        <v>363.0</v>
      </c>
      <c r="M437" s="1">
        <v>72.6</v>
      </c>
      <c r="N437" s="1">
        <v>68.0</v>
      </c>
      <c r="O437" s="1" t="s">
        <v>21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696</v>
      </c>
      <c r="B438" s="1" t="s">
        <v>697</v>
      </c>
      <c r="C438" s="1" t="s">
        <v>17</v>
      </c>
      <c r="D438" s="1" t="s">
        <v>40</v>
      </c>
      <c r="E438" s="1" t="s">
        <v>19</v>
      </c>
      <c r="F438" s="1" t="s">
        <v>62</v>
      </c>
      <c r="G438" s="1">
        <v>89.0</v>
      </c>
      <c r="H438" s="1">
        <v>77.0</v>
      </c>
      <c r="I438" s="1">
        <v>91.0</v>
      </c>
      <c r="J438" s="1">
        <v>44.0</v>
      </c>
      <c r="K438" s="1">
        <v>79.0</v>
      </c>
      <c r="L438" s="1">
        <v>380.0</v>
      </c>
      <c r="M438" s="1">
        <v>76.0</v>
      </c>
      <c r="N438" s="1">
        <v>78.0</v>
      </c>
      <c r="O438" s="1" t="s">
        <v>21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698</v>
      </c>
      <c r="B439" s="1" t="s">
        <v>197</v>
      </c>
      <c r="C439" s="1" t="s">
        <v>17</v>
      </c>
      <c r="D439" s="1" t="s">
        <v>18</v>
      </c>
      <c r="E439" s="1" t="s">
        <v>26</v>
      </c>
      <c r="F439" s="1" t="s">
        <v>44</v>
      </c>
      <c r="G439" s="1">
        <v>58.0</v>
      </c>
      <c r="H439" s="1">
        <v>74.0</v>
      </c>
      <c r="I439" s="1">
        <v>85.0</v>
      </c>
      <c r="J439" s="1">
        <v>91.0</v>
      </c>
      <c r="K439" s="1">
        <v>69.0</v>
      </c>
      <c r="L439" s="1">
        <v>377.0</v>
      </c>
      <c r="M439" s="1">
        <v>75.4</v>
      </c>
      <c r="N439" s="1">
        <v>88.0</v>
      </c>
      <c r="O439" s="1" t="s">
        <v>21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699</v>
      </c>
      <c r="B440" s="1" t="s">
        <v>161</v>
      </c>
      <c r="C440" s="1" t="s">
        <v>24</v>
      </c>
      <c r="D440" s="1" t="s">
        <v>40</v>
      </c>
      <c r="E440" s="1" t="s">
        <v>26</v>
      </c>
      <c r="F440" s="1" t="s">
        <v>77</v>
      </c>
      <c r="G440" s="1">
        <v>41.0</v>
      </c>
      <c r="H440" s="1">
        <v>92.0</v>
      </c>
      <c r="I440" s="1">
        <v>48.0</v>
      </c>
      <c r="J440" s="1">
        <v>40.0</v>
      </c>
      <c r="K440" s="1">
        <v>49.0</v>
      </c>
      <c r="L440" s="1">
        <v>270.0</v>
      </c>
      <c r="M440" s="1">
        <v>54.0</v>
      </c>
      <c r="N440" s="1">
        <v>68.0</v>
      </c>
      <c r="O440" s="1" t="s">
        <v>21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700</v>
      </c>
      <c r="B441" s="1" t="s">
        <v>163</v>
      </c>
      <c r="C441" s="1" t="s">
        <v>24</v>
      </c>
      <c r="D441" s="1" t="s">
        <v>40</v>
      </c>
      <c r="E441" s="1" t="s">
        <v>26</v>
      </c>
      <c r="F441" s="1" t="s">
        <v>20</v>
      </c>
      <c r="G441" s="1">
        <v>50.0</v>
      </c>
      <c r="H441" s="1">
        <v>90.0</v>
      </c>
      <c r="I441" s="1">
        <v>88.0</v>
      </c>
      <c r="J441" s="1">
        <v>82.0</v>
      </c>
      <c r="K441" s="1">
        <v>64.0</v>
      </c>
      <c r="L441" s="1">
        <v>374.0</v>
      </c>
      <c r="M441" s="1">
        <v>74.8</v>
      </c>
      <c r="N441" s="1">
        <v>64.0</v>
      </c>
      <c r="O441" s="1" t="s">
        <v>21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701</v>
      </c>
      <c r="B442" s="1" t="s">
        <v>221</v>
      </c>
      <c r="C442" s="1" t="s">
        <v>24</v>
      </c>
      <c r="D442" s="1" t="s">
        <v>25</v>
      </c>
      <c r="E442" s="1" t="s">
        <v>26</v>
      </c>
      <c r="F442" s="1" t="s">
        <v>27</v>
      </c>
      <c r="G442" s="1">
        <v>88.0</v>
      </c>
      <c r="H442" s="1">
        <v>59.0</v>
      </c>
      <c r="I442" s="1">
        <v>57.0</v>
      </c>
      <c r="J442" s="1">
        <v>52.0</v>
      </c>
      <c r="K442" s="1">
        <v>48.0</v>
      </c>
      <c r="L442" s="1">
        <v>304.0</v>
      </c>
      <c r="M442" s="1">
        <v>60.8</v>
      </c>
      <c r="N442" s="1">
        <v>92.0</v>
      </c>
      <c r="O442" s="1" t="s">
        <v>21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702</v>
      </c>
      <c r="B443" s="1" t="s">
        <v>703</v>
      </c>
      <c r="C443" s="1" t="s">
        <v>24</v>
      </c>
      <c r="D443" s="1" t="s">
        <v>30</v>
      </c>
      <c r="E443" s="1" t="s">
        <v>19</v>
      </c>
      <c r="F443" s="1" t="s">
        <v>37</v>
      </c>
      <c r="G443" s="1">
        <v>89.0</v>
      </c>
      <c r="H443" s="1">
        <v>93.0</v>
      </c>
      <c r="I443" s="1">
        <v>63.0</v>
      </c>
      <c r="J443" s="1">
        <v>48.0</v>
      </c>
      <c r="K443" s="1">
        <v>81.0</v>
      </c>
      <c r="L443" s="1">
        <v>374.0</v>
      </c>
      <c r="M443" s="1">
        <v>74.8</v>
      </c>
      <c r="N443" s="1">
        <v>88.0</v>
      </c>
      <c r="O443" s="1" t="s">
        <v>21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704</v>
      </c>
      <c r="B444" s="1" t="s">
        <v>705</v>
      </c>
      <c r="C444" s="1" t="s">
        <v>24</v>
      </c>
      <c r="D444" s="1" t="s">
        <v>54</v>
      </c>
      <c r="E444" s="1" t="s">
        <v>47</v>
      </c>
      <c r="F444" s="1" t="s">
        <v>55</v>
      </c>
      <c r="G444" s="1">
        <v>57.0</v>
      </c>
      <c r="H444" s="1">
        <v>72.0</v>
      </c>
      <c r="I444" s="1">
        <v>82.0</v>
      </c>
      <c r="J444" s="1">
        <v>71.0</v>
      </c>
      <c r="K444" s="1">
        <v>90.0</v>
      </c>
      <c r="L444" s="1">
        <v>372.0</v>
      </c>
      <c r="M444" s="1">
        <v>74.4</v>
      </c>
      <c r="N444" s="1">
        <v>90.0</v>
      </c>
      <c r="O444" s="1" t="s">
        <v>21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706</v>
      </c>
      <c r="B445" s="1" t="s">
        <v>427</v>
      </c>
      <c r="C445" s="1" t="s">
        <v>24</v>
      </c>
      <c r="D445" s="1" t="s">
        <v>18</v>
      </c>
      <c r="E445" s="1" t="s">
        <v>19</v>
      </c>
      <c r="F445" s="1" t="s">
        <v>41</v>
      </c>
      <c r="G445" s="1">
        <v>54.0</v>
      </c>
      <c r="H445" s="1">
        <v>61.0</v>
      </c>
      <c r="I445" s="1">
        <v>64.0</v>
      </c>
      <c r="J445" s="1">
        <v>61.0</v>
      </c>
      <c r="K445" s="1">
        <v>42.0</v>
      </c>
      <c r="L445" s="1">
        <v>282.0</v>
      </c>
      <c r="M445" s="1">
        <v>56.4</v>
      </c>
      <c r="N445" s="1">
        <v>64.0</v>
      </c>
      <c r="O445" s="1" t="s">
        <v>21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707</v>
      </c>
      <c r="B446" s="1" t="s">
        <v>408</v>
      </c>
      <c r="C446" s="1" t="s">
        <v>17</v>
      </c>
      <c r="D446" s="1" t="s">
        <v>40</v>
      </c>
      <c r="E446" s="1" t="s">
        <v>26</v>
      </c>
      <c r="F446" s="1" t="s">
        <v>62</v>
      </c>
      <c r="G446" s="1">
        <v>77.0</v>
      </c>
      <c r="H446" s="1">
        <v>93.0</v>
      </c>
      <c r="I446" s="1">
        <v>98.0</v>
      </c>
      <c r="J446" s="1">
        <v>93.0</v>
      </c>
      <c r="K446" s="1">
        <v>58.0</v>
      </c>
      <c r="L446" s="1">
        <v>419.0</v>
      </c>
      <c r="M446" s="1">
        <v>83.8</v>
      </c>
      <c r="N446" s="1">
        <v>71.0</v>
      </c>
      <c r="O446" s="1" t="s">
        <v>21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708</v>
      </c>
      <c r="B447" s="1" t="s">
        <v>709</v>
      </c>
      <c r="C447" s="1" t="s">
        <v>17</v>
      </c>
      <c r="D447" s="1" t="s">
        <v>54</v>
      </c>
      <c r="E447" s="1" t="s">
        <v>26</v>
      </c>
      <c r="F447" s="1" t="s">
        <v>62</v>
      </c>
      <c r="G447" s="1">
        <v>65.0</v>
      </c>
      <c r="H447" s="1">
        <v>69.0</v>
      </c>
      <c r="I447" s="1">
        <v>40.0</v>
      </c>
      <c r="J447" s="1">
        <v>69.0</v>
      </c>
      <c r="K447" s="1">
        <v>62.0</v>
      </c>
      <c r="L447" s="1">
        <v>305.0</v>
      </c>
      <c r="M447" s="1">
        <v>61.0</v>
      </c>
      <c r="N447" s="1">
        <v>93.0</v>
      </c>
      <c r="O447" s="1" t="s">
        <v>21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710</v>
      </c>
      <c r="B448" s="1" t="s">
        <v>576</v>
      </c>
      <c r="C448" s="1" t="s">
        <v>24</v>
      </c>
      <c r="D448" s="1" t="s">
        <v>40</v>
      </c>
      <c r="E448" s="1" t="s">
        <v>26</v>
      </c>
      <c r="F448" s="1" t="s">
        <v>62</v>
      </c>
      <c r="G448" s="1">
        <v>95.0</v>
      </c>
      <c r="H448" s="1">
        <v>87.0</v>
      </c>
      <c r="I448" s="1">
        <v>54.0</v>
      </c>
      <c r="J448" s="1">
        <v>48.0</v>
      </c>
      <c r="K448" s="1">
        <v>52.0</v>
      </c>
      <c r="L448" s="1">
        <v>336.0</v>
      </c>
      <c r="M448" s="1">
        <v>67.2</v>
      </c>
      <c r="N448" s="1">
        <v>73.0</v>
      </c>
      <c r="O448" s="1" t="s">
        <v>21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711</v>
      </c>
      <c r="B449" s="1" t="s">
        <v>534</v>
      </c>
      <c r="C449" s="1" t="s">
        <v>24</v>
      </c>
      <c r="D449" s="1" t="s">
        <v>25</v>
      </c>
      <c r="E449" s="1" t="s">
        <v>26</v>
      </c>
      <c r="F449" s="1" t="s">
        <v>20</v>
      </c>
      <c r="G449" s="1">
        <v>54.0</v>
      </c>
      <c r="H449" s="1">
        <v>62.0</v>
      </c>
      <c r="I449" s="1">
        <v>76.0</v>
      </c>
      <c r="J449" s="1">
        <v>87.0</v>
      </c>
      <c r="K449" s="1">
        <v>92.0</v>
      </c>
      <c r="L449" s="1">
        <v>371.0</v>
      </c>
      <c r="M449" s="1">
        <v>74.2</v>
      </c>
      <c r="N449" s="1">
        <v>89.0</v>
      </c>
      <c r="O449" s="1" t="s">
        <v>21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712</v>
      </c>
      <c r="B450" s="1" t="s">
        <v>311</v>
      </c>
      <c r="C450" s="1" t="s">
        <v>17</v>
      </c>
      <c r="D450" s="1" t="s">
        <v>30</v>
      </c>
      <c r="E450" s="1" t="s">
        <v>47</v>
      </c>
      <c r="F450" s="1" t="s">
        <v>44</v>
      </c>
      <c r="G450" s="1">
        <v>53.0</v>
      </c>
      <c r="H450" s="1">
        <v>63.0</v>
      </c>
      <c r="I450" s="1">
        <v>58.0</v>
      </c>
      <c r="J450" s="1">
        <v>41.0</v>
      </c>
      <c r="K450" s="1">
        <v>86.0</v>
      </c>
      <c r="L450" s="1">
        <v>301.0</v>
      </c>
      <c r="M450" s="1">
        <v>60.2</v>
      </c>
      <c r="N450" s="1">
        <v>86.0</v>
      </c>
      <c r="O450" s="1" t="s">
        <v>21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713</v>
      </c>
      <c r="B451" s="1" t="s">
        <v>703</v>
      </c>
      <c r="C451" s="1" t="s">
        <v>24</v>
      </c>
      <c r="D451" s="1" t="s">
        <v>40</v>
      </c>
      <c r="E451" s="1" t="s">
        <v>19</v>
      </c>
      <c r="F451" s="1" t="s">
        <v>62</v>
      </c>
      <c r="G451" s="1">
        <v>75.0</v>
      </c>
      <c r="H451" s="1">
        <v>72.0</v>
      </c>
      <c r="I451" s="1">
        <v>41.0</v>
      </c>
      <c r="J451" s="1">
        <v>83.0</v>
      </c>
      <c r="K451" s="1">
        <v>62.0</v>
      </c>
      <c r="L451" s="1">
        <v>333.0</v>
      </c>
      <c r="M451" s="1">
        <v>66.6</v>
      </c>
      <c r="N451" s="1">
        <v>70.0</v>
      </c>
      <c r="O451" s="1" t="s">
        <v>21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714</v>
      </c>
      <c r="B452" s="1" t="s">
        <v>715</v>
      </c>
      <c r="C452" s="1" t="s">
        <v>17</v>
      </c>
      <c r="D452" s="1" t="s">
        <v>18</v>
      </c>
      <c r="E452" s="1" t="s">
        <v>19</v>
      </c>
      <c r="F452" s="1" t="s">
        <v>20</v>
      </c>
      <c r="G452" s="1">
        <v>83.0</v>
      </c>
      <c r="H452" s="1">
        <v>64.0</v>
      </c>
      <c r="I452" s="1">
        <v>40.0</v>
      </c>
      <c r="J452" s="1">
        <v>76.0</v>
      </c>
      <c r="K452" s="1">
        <v>75.0</v>
      </c>
      <c r="L452" s="1">
        <v>338.0</v>
      </c>
      <c r="M452" s="1">
        <v>67.6</v>
      </c>
      <c r="N452" s="1">
        <v>69.0</v>
      </c>
      <c r="O452" s="1" t="s">
        <v>21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716</v>
      </c>
      <c r="B453" s="1" t="s">
        <v>717</v>
      </c>
      <c r="C453" s="1" t="s">
        <v>24</v>
      </c>
      <c r="D453" s="1" t="s">
        <v>18</v>
      </c>
      <c r="E453" s="1" t="s">
        <v>26</v>
      </c>
      <c r="F453" s="1" t="s">
        <v>55</v>
      </c>
      <c r="G453" s="1">
        <v>83.0</v>
      </c>
      <c r="H453" s="1">
        <v>85.0</v>
      </c>
      <c r="I453" s="1">
        <v>60.0</v>
      </c>
      <c r="J453" s="1">
        <v>58.0</v>
      </c>
      <c r="K453" s="1">
        <v>82.0</v>
      </c>
      <c r="L453" s="1">
        <v>368.0</v>
      </c>
      <c r="M453" s="1">
        <v>73.6</v>
      </c>
      <c r="N453" s="1">
        <v>87.0</v>
      </c>
      <c r="O453" s="1" t="s">
        <v>21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718</v>
      </c>
      <c r="B454" s="1" t="s">
        <v>429</v>
      </c>
      <c r="C454" s="1" t="s">
        <v>17</v>
      </c>
      <c r="D454" s="1" t="s">
        <v>40</v>
      </c>
      <c r="E454" s="1" t="s">
        <v>47</v>
      </c>
      <c r="F454" s="1" t="s">
        <v>27</v>
      </c>
      <c r="G454" s="1">
        <v>69.0</v>
      </c>
      <c r="H454" s="1">
        <v>46.0</v>
      </c>
      <c r="I454" s="1">
        <v>46.0</v>
      </c>
      <c r="J454" s="1">
        <v>67.0</v>
      </c>
      <c r="K454" s="1">
        <v>81.0</v>
      </c>
      <c r="L454" s="1">
        <v>309.0</v>
      </c>
      <c r="M454" s="1">
        <v>61.8</v>
      </c>
      <c r="N454" s="1">
        <v>98.0</v>
      </c>
      <c r="O454" s="1" t="s">
        <v>21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719</v>
      </c>
      <c r="B455" s="1" t="s">
        <v>335</v>
      </c>
      <c r="C455" s="1" t="s">
        <v>17</v>
      </c>
      <c r="D455" s="1" t="s">
        <v>18</v>
      </c>
      <c r="E455" s="1" t="s">
        <v>26</v>
      </c>
      <c r="F455" s="1" t="s">
        <v>41</v>
      </c>
      <c r="G455" s="1">
        <v>84.0</v>
      </c>
      <c r="H455" s="1">
        <v>49.0</v>
      </c>
      <c r="I455" s="1">
        <v>60.0</v>
      </c>
      <c r="J455" s="1">
        <v>68.0</v>
      </c>
      <c r="K455" s="1">
        <v>45.0</v>
      </c>
      <c r="L455" s="1">
        <v>306.0</v>
      </c>
      <c r="M455" s="1">
        <v>61.2</v>
      </c>
      <c r="N455" s="1">
        <v>77.0</v>
      </c>
      <c r="O455" s="1" t="s">
        <v>21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720</v>
      </c>
      <c r="B456" s="1" t="s">
        <v>349</v>
      </c>
      <c r="C456" s="1" t="s">
        <v>17</v>
      </c>
      <c r="D456" s="1" t="s">
        <v>25</v>
      </c>
      <c r="E456" s="1" t="s">
        <v>19</v>
      </c>
      <c r="F456" s="1" t="s">
        <v>20</v>
      </c>
      <c r="G456" s="1">
        <v>63.0</v>
      </c>
      <c r="H456" s="1">
        <v>61.0</v>
      </c>
      <c r="I456" s="1">
        <v>62.0</v>
      </c>
      <c r="J456" s="1">
        <v>52.0</v>
      </c>
      <c r="K456" s="1">
        <v>72.0</v>
      </c>
      <c r="L456" s="1">
        <v>310.0</v>
      </c>
      <c r="M456" s="1">
        <v>62.0</v>
      </c>
      <c r="N456" s="1">
        <v>94.0</v>
      </c>
      <c r="O456" s="1" t="s">
        <v>21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721</v>
      </c>
      <c r="B457" s="1" t="s">
        <v>717</v>
      </c>
      <c r="C457" s="1" t="s">
        <v>17</v>
      </c>
      <c r="D457" s="1" t="s">
        <v>30</v>
      </c>
      <c r="E457" s="1" t="s">
        <v>47</v>
      </c>
      <c r="F457" s="1" t="s">
        <v>55</v>
      </c>
      <c r="G457" s="1">
        <v>100.0</v>
      </c>
      <c r="H457" s="1">
        <v>96.0</v>
      </c>
      <c r="I457" s="1">
        <v>63.0</v>
      </c>
      <c r="J457" s="1">
        <v>63.0</v>
      </c>
      <c r="K457" s="1">
        <v>78.0</v>
      </c>
      <c r="L457" s="1">
        <v>400.0</v>
      </c>
      <c r="M457" s="1">
        <v>80.0</v>
      </c>
      <c r="N457" s="1">
        <v>75.0</v>
      </c>
      <c r="O457" s="1" t="s">
        <v>21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722</v>
      </c>
      <c r="B458" s="1" t="s">
        <v>495</v>
      </c>
      <c r="C458" s="1" t="s">
        <v>24</v>
      </c>
      <c r="D458" s="1" t="s">
        <v>40</v>
      </c>
      <c r="E458" s="1" t="s">
        <v>19</v>
      </c>
      <c r="F458" s="1" t="s">
        <v>20</v>
      </c>
      <c r="G458" s="1">
        <v>73.0</v>
      </c>
      <c r="H458" s="1">
        <v>50.0</v>
      </c>
      <c r="I458" s="1">
        <v>80.0</v>
      </c>
      <c r="J458" s="1">
        <v>83.0</v>
      </c>
      <c r="K458" s="1">
        <v>85.0</v>
      </c>
      <c r="L458" s="1">
        <v>371.0</v>
      </c>
      <c r="M458" s="1">
        <v>74.2</v>
      </c>
      <c r="N458" s="1">
        <v>64.0</v>
      </c>
      <c r="O458" s="1" t="s">
        <v>21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723</v>
      </c>
      <c r="B459" s="1" t="s">
        <v>51</v>
      </c>
      <c r="C459" s="1" t="s">
        <v>17</v>
      </c>
      <c r="D459" s="1" t="s">
        <v>18</v>
      </c>
      <c r="E459" s="1" t="s">
        <v>26</v>
      </c>
      <c r="F459" s="1" t="s">
        <v>44</v>
      </c>
      <c r="G459" s="1">
        <v>49.0</v>
      </c>
      <c r="H459" s="1">
        <v>83.0</v>
      </c>
      <c r="I459" s="1">
        <v>68.0</v>
      </c>
      <c r="J459" s="1">
        <v>69.0</v>
      </c>
      <c r="K459" s="1">
        <v>93.0</v>
      </c>
      <c r="L459" s="1">
        <v>362.0</v>
      </c>
      <c r="M459" s="1">
        <v>72.4</v>
      </c>
      <c r="N459" s="1">
        <v>72.0</v>
      </c>
      <c r="O459" s="1" t="s">
        <v>21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724</v>
      </c>
      <c r="B460" s="1" t="s">
        <v>163</v>
      </c>
      <c r="C460" s="1" t="s">
        <v>17</v>
      </c>
      <c r="D460" s="1" t="s">
        <v>54</v>
      </c>
      <c r="E460" s="1" t="s">
        <v>47</v>
      </c>
      <c r="F460" s="1" t="s">
        <v>62</v>
      </c>
      <c r="G460" s="1">
        <v>85.0</v>
      </c>
      <c r="H460" s="1">
        <v>52.0</v>
      </c>
      <c r="I460" s="1">
        <v>48.0</v>
      </c>
      <c r="J460" s="1">
        <v>54.0</v>
      </c>
      <c r="K460" s="1">
        <v>52.0</v>
      </c>
      <c r="L460" s="1">
        <v>291.0</v>
      </c>
      <c r="M460" s="1">
        <v>58.2</v>
      </c>
      <c r="N460" s="1">
        <v>66.0</v>
      </c>
      <c r="O460" s="1" t="s">
        <v>21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725</v>
      </c>
      <c r="B461" s="1" t="s">
        <v>374</v>
      </c>
      <c r="C461" s="1" t="s">
        <v>17</v>
      </c>
      <c r="D461" s="1" t="s">
        <v>18</v>
      </c>
      <c r="E461" s="1" t="s">
        <v>47</v>
      </c>
      <c r="F461" s="1" t="s">
        <v>77</v>
      </c>
      <c r="G461" s="1">
        <v>47.0</v>
      </c>
      <c r="H461" s="1">
        <v>75.0</v>
      </c>
      <c r="I461" s="1">
        <v>40.0</v>
      </c>
      <c r="J461" s="1">
        <v>65.0</v>
      </c>
      <c r="K461" s="1">
        <v>76.0</v>
      </c>
      <c r="L461" s="1">
        <v>303.0</v>
      </c>
      <c r="M461" s="1">
        <v>60.6</v>
      </c>
      <c r="N461" s="1">
        <v>84.0</v>
      </c>
      <c r="O461" s="1" t="s">
        <v>21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 t="s">
        <v>726</v>
      </c>
      <c r="B462" s="1" t="s">
        <v>274</v>
      </c>
      <c r="C462" s="1" t="s">
        <v>17</v>
      </c>
      <c r="D462" s="1" t="s">
        <v>40</v>
      </c>
      <c r="E462" s="1" t="s">
        <v>26</v>
      </c>
      <c r="F462" s="1" t="s">
        <v>77</v>
      </c>
      <c r="G462" s="1">
        <v>67.0</v>
      </c>
      <c r="H462" s="1">
        <v>91.0</v>
      </c>
      <c r="I462" s="1">
        <v>86.0</v>
      </c>
      <c r="J462" s="1">
        <v>92.0</v>
      </c>
      <c r="K462" s="1">
        <v>67.0</v>
      </c>
      <c r="L462" s="1">
        <v>403.0</v>
      </c>
      <c r="M462" s="1">
        <v>80.6</v>
      </c>
      <c r="N462" s="1">
        <v>86.0</v>
      </c>
      <c r="O462" s="1" t="s">
        <v>21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 t="s">
        <v>727</v>
      </c>
      <c r="B463" s="1" t="s">
        <v>137</v>
      </c>
      <c r="C463" s="1" t="s">
        <v>24</v>
      </c>
      <c r="D463" s="1" t="s">
        <v>25</v>
      </c>
      <c r="E463" s="1" t="s">
        <v>47</v>
      </c>
      <c r="F463" s="1" t="s">
        <v>37</v>
      </c>
      <c r="G463" s="1">
        <v>81.0</v>
      </c>
      <c r="H463" s="1">
        <v>56.0</v>
      </c>
      <c r="I463" s="1">
        <v>94.0</v>
      </c>
      <c r="J463" s="1">
        <v>88.0</v>
      </c>
      <c r="K463" s="1">
        <v>85.0</v>
      </c>
      <c r="L463" s="1">
        <v>404.0</v>
      </c>
      <c r="M463" s="1">
        <v>80.8</v>
      </c>
      <c r="N463" s="1">
        <v>60.0</v>
      </c>
      <c r="O463" s="1" t="s">
        <v>21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 t="s">
        <v>728</v>
      </c>
      <c r="B464" s="1" t="s">
        <v>91</v>
      </c>
      <c r="C464" s="1" t="s">
        <v>24</v>
      </c>
      <c r="D464" s="1" t="s">
        <v>18</v>
      </c>
      <c r="E464" s="1" t="s">
        <v>19</v>
      </c>
      <c r="F464" s="1" t="s">
        <v>55</v>
      </c>
      <c r="G464" s="1">
        <v>65.0</v>
      </c>
      <c r="H464" s="1">
        <v>73.0</v>
      </c>
      <c r="I464" s="1">
        <v>96.0</v>
      </c>
      <c r="J464" s="1">
        <v>57.0</v>
      </c>
      <c r="K464" s="1">
        <v>56.0</v>
      </c>
      <c r="L464" s="1">
        <v>347.0</v>
      </c>
      <c r="M464" s="1">
        <v>69.4</v>
      </c>
      <c r="N464" s="1">
        <v>89.0</v>
      </c>
      <c r="O464" s="1" t="s">
        <v>21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 t="s">
        <v>729</v>
      </c>
      <c r="B465" s="1" t="s">
        <v>550</v>
      </c>
      <c r="C465" s="1" t="s">
        <v>24</v>
      </c>
      <c r="D465" s="1" t="s">
        <v>54</v>
      </c>
      <c r="E465" s="1" t="s">
        <v>19</v>
      </c>
      <c r="F465" s="1" t="s">
        <v>55</v>
      </c>
      <c r="G465" s="1">
        <v>65.0</v>
      </c>
      <c r="H465" s="1">
        <v>77.0</v>
      </c>
      <c r="I465" s="1">
        <v>72.0</v>
      </c>
      <c r="J465" s="1">
        <v>100.0</v>
      </c>
      <c r="K465" s="1">
        <v>50.0</v>
      </c>
      <c r="L465" s="1">
        <v>364.0</v>
      </c>
      <c r="M465" s="1">
        <v>72.8</v>
      </c>
      <c r="N465" s="1">
        <v>78.0</v>
      </c>
      <c r="O465" s="1" t="s">
        <v>21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 t="s">
        <v>730</v>
      </c>
      <c r="B466" s="1" t="s">
        <v>731</v>
      </c>
      <c r="C466" s="1" t="s">
        <v>17</v>
      </c>
      <c r="D466" s="1" t="s">
        <v>25</v>
      </c>
      <c r="E466" s="1" t="s">
        <v>26</v>
      </c>
      <c r="F466" s="1" t="s">
        <v>41</v>
      </c>
      <c r="G466" s="1">
        <v>60.0</v>
      </c>
      <c r="H466" s="1">
        <v>82.0</v>
      </c>
      <c r="I466" s="1">
        <v>48.0</v>
      </c>
      <c r="J466" s="1">
        <v>52.0</v>
      </c>
      <c r="K466" s="1">
        <v>71.0</v>
      </c>
      <c r="L466" s="1">
        <v>313.0</v>
      </c>
      <c r="M466" s="1">
        <v>62.6</v>
      </c>
      <c r="N466" s="1">
        <v>75.0</v>
      </c>
      <c r="O466" s="1" t="s">
        <v>21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 t="s">
        <v>732</v>
      </c>
      <c r="B467" s="1" t="s">
        <v>419</v>
      </c>
      <c r="C467" s="1" t="s">
        <v>17</v>
      </c>
      <c r="D467" s="1" t="s">
        <v>40</v>
      </c>
      <c r="E467" s="1" t="s">
        <v>19</v>
      </c>
      <c r="F467" s="1" t="s">
        <v>77</v>
      </c>
      <c r="G467" s="1">
        <v>74.0</v>
      </c>
      <c r="H467" s="1">
        <v>92.0</v>
      </c>
      <c r="I467" s="1">
        <v>74.0</v>
      </c>
      <c r="J467" s="1">
        <v>66.0</v>
      </c>
      <c r="K467" s="1">
        <v>59.0</v>
      </c>
      <c r="L467" s="1">
        <v>365.0</v>
      </c>
      <c r="M467" s="1">
        <v>73.0</v>
      </c>
      <c r="N467" s="1">
        <v>78.0</v>
      </c>
      <c r="O467" s="1" t="s">
        <v>21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 t="s">
        <v>733</v>
      </c>
      <c r="B468" s="1" t="s">
        <v>233</v>
      </c>
      <c r="C468" s="1" t="s">
        <v>24</v>
      </c>
      <c r="D468" s="1" t="s">
        <v>40</v>
      </c>
      <c r="E468" s="1" t="s">
        <v>19</v>
      </c>
      <c r="F468" s="1" t="s">
        <v>27</v>
      </c>
      <c r="G468" s="1">
        <v>45.0</v>
      </c>
      <c r="H468" s="1">
        <v>78.0</v>
      </c>
      <c r="I468" s="1">
        <v>40.0</v>
      </c>
      <c r="J468" s="1">
        <v>40.0</v>
      </c>
      <c r="K468" s="1">
        <v>84.0</v>
      </c>
      <c r="L468" s="1">
        <v>287.0</v>
      </c>
      <c r="M468" s="1">
        <v>57.4</v>
      </c>
      <c r="N468" s="1">
        <v>94.0</v>
      </c>
      <c r="O468" s="1" t="s">
        <v>21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 t="s">
        <v>734</v>
      </c>
      <c r="B469" s="1" t="s">
        <v>572</v>
      </c>
      <c r="C469" s="1" t="s">
        <v>24</v>
      </c>
      <c r="D469" s="1" t="s">
        <v>18</v>
      </c>
      <c r="E469" s="1" t="s">
        <v>47</v>
      </c>
      <c r="F469" s="1" t="s">
        <v>44</v>
      </c>
      <c r="G469" s="1">
        <v>52.0</v>
      </c>
      <c r="H469" s="1">
        <v>96.0</v>
      </c>
      <c r="I469" s="1">
        <v>58.0</v>
      </c>
      <c r="J469" s="1">
        <v>79.0</v>
      </c>
      <c r="K469" s="1">
        <v>99.0</v>
      </c>
      <c r="L469" s="1">
        <v>384.0</v>
      </c>
      <c r="M469" s="1">
        <v>76.8</v>
      </c>
      <c r="N469" s="1">
        <v>85.0</v>
      </c>
      <c r="O469" s="1" t="s">
        <v>21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 t="s">
        <v>735</v>
      </c>
      <c r="B470" s="1" t="s">
        <v>523</v>
      </c>
      <c r="C470" s="1" t="s">
        <v>24</v>
      </c>
      <c r="D470" s="1" t="s">
        <v>54</v>
      </c>
      <c r="E470" s="1" t="s">
        <v>19</v>
      </c>
      <c r="F470" s="1" t="s">
        <v>77</v>
      </c>
      <c r="G470" s="1">
        <v>50.0</v>
      </c>
      <c r="H470" s="1">
        <v>61.0</v>
      </c>
      <c r="I470" s="1">
        <v>97.0</v>
      </c>
      <c r="J470" s="1">
        <v>85.0</v>
      </c>
      <c r="K470" s="1">
        <v>94.0</v>
      </c>
      <c r="L470" s="1">
        <v>387.0</v>
      </c>
      <c r="M470" s="1">
        <v>77.4</v>
      </c>
      <c r="N470" s="1">
        <v>98.0</v>
      </c>
      <c r="O470" s="1" t="s">
        <v>21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 t="s">
        <v>736</v>
      </c>
      <c r="B471" s="1" t="s">
        <v>640</v>
      </c>
      <c r="C471" s="1" t="s">
        <v>24</v>
      </c>
      <c r="D471" s="1" t="s">
        <v>54</v>
      </c>
      <c r="E471" s="1" t="s">
        <v>19</v>
      </c>
      <c r="F471" s="1" t="s">
        <v>20</v>
      </c>
      <c r="G471" s="1">
        <v>98.0</v>
      </c>
      <c r="H471" s="1">
        <v>54.0</v>
      </c>
      <c r="I471" s="1">
        <v>41.0</v>
      </c>
      <c r="J471" s="1">
        <v>92.0</v>
      </c>
      <c r="K471" s="1">
        <v>100.0</v>
      </c>
      <c r="L471" s="1">
        <v>385.0</v>
      </c>
      <c r="M471" s="1">
        <v>77.0</v>
      </c>
      <c r="N471" s="1">
        <v>99.0</v>
      </c>
      <c r="O471" s="1" t="s">
        <v>21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 t="s">
        <v>737</v>
      </c>
      <c r="B472" s="1" t="s">
        <v>502</v>
      </c>
      <c r="C472" s="1" t="s">
        <v>24</v>
      </c>
      <c r="D472" s="1" t="s">
        <v>54</v>
      </c>
      <c r="E472" s="1" t="s">
        <v>47</v>
      </c>
      <c r="F472" s="1" t="s">
        <v>44</v>
      </c>
      <c r="G472" s="1">
        <v>73.0</v>
      </c>
      <c r="H472" s="1">
        <v>90.0</v>
      </c>
      <c r="I472" s="1">
        <v>81.0</v>
      </c>
      <c r="J472" s="1">
        <v>88.0</v>
      </c>
      <c r="K472" s="1">
        <v>83.0</v>
      </c>
      <c r="L472" s="1">
        <v>415.0</v>
      </c>
      <c r="M472" s="1">
        <v>83.0</v>
      </c>
      <c r="N472" s="1">
        <v>82.0</v>
      </c>
      <c r="O472" s="1" t="s">
        <v>21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 t="s">
        <v>738</v>
      </c>
      <c r="B473" s="1" t="s">
        <v>49</v>
      </c>
      <c r="C473" s="1" t="s">
        <v>17</v>
      </c>
      <c r="D473" s="1" t="s">
        <v>30</v>
      </c>
      <c r="E473" s="1" t="s">
        <v>47</v>
      </c>
      <c r="F473" s="1" t="s">
        <v>77</v>
      </c>
      <c r="G473" s="1">
        <v>53.0</v>
      </c>
      <c r="H473" s="1">
        <v>43.0</v>
      </c>
      <c r="I473" s="1">
        <v>78.0</v>
      </c>
      <c r="J473" s="1">
        <v>40.0</v>
      </c>
      <c r="K473" s="1">
        <v>45.0</v>
      </c>
      <c r="L473" s="1">
        <v>259.0</v>
      </c>
      <c r="M473" s="1">
        <v>51.8</v>
      </c>
      <c r="N473" s="1">
        <v>61.0</v>
      </c>
      <c r="O473" s="1" t="s">
        <v>21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 t="s">
        <v>739</v>
      </c>
      <c r="B474" s="1" t="s">
        <v>297</v>
      </c>
      <c r="C474" s="1" t="s">
        <v>24</v>
      </c>
      <c r="D474" s="1" t="s">
        <v>54</v>
      </c>
      <c r="E474" s="1" t="s">
        <v>26</v>
      </c>
      <c r="F474" s="1" t="s">
        <v>77</v>
      </c>
      <c r="G474" s="1">
        <v>64.0</v>
      </c>
      <c r="H474" s="1">
        <v>53.0</v>
      </c>
      <c r="I474" s="1">
        <v>70.0</v>
      </c>
      <c r="J474" s="1">
        <v>79.0</v>
      </c>
      <c r="K474" s="1">
        <v>66.0</v>
      </c>
      <c r="L474" s="1">
        <v>332.0</v>
      </c>
      <c r="M474" s="1">
        <v>66.4</v>
      </c>
      <c r="N474" s="1">
        <v>90.0</v>
      </c>
      <c r="O474" s="1" t="s">
        <v>21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 t="s">
        <v>740</v>
      </c>
      <c r="B475" s="1" t="s">
        <v>64</v>
      </c>
      <c r="C475" s="1" t="s">
        <v>17</v>
      </c>
      <c r="D475" s="1" t="s">
        <v>25</v>
      </c>
      <c r="E475" s="1" t="s">
        <v>26</v>
      </c>
      <c r="F475" s="1" t="s">
        <v>55</v>
      </c>
      <c r="G475" s="1">
        <v>75.0</v>
      </c>
      <c r="H475" s="1">
        <v>95.0</v>
      </c>
      <c r="I475" s="1">
        <v>90.0</v>
      </c>
      <c r="J475" s="1">
        <v>51.0</v>
      </c>
      <c r="K475" s="1">
        <v>78.0</v>
      </c>
      <c r="L475" s="1">
        <v>389.0</v>
      </c>
      <c r="M475" s="1">
        <v>77.8</v>
      </c>
      <c r="N475" s="1">
        <v>77.0</v>
      </c>
      <c r="O475" s="1" t="s">
        <v>21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 t="s">
        <v>741</v>
      </c>
      <c r="B476" s="1" t="s">
        <v>123</v>
      </c>
      <c r="C476" s="1" t="s">
        <v>24</v>
      </c>
      <c r="D476" s="1" t="s">
        <v>54</v>
      </c>
      <c r="E476" s="1" t="s">
        <v>47</v>
      </c>
      <c r="F476" s="1" t="s">
        <v>55</v>
      </c>
      <c r="G476" s="1">
        <v>79.0</v>
      </c>
      <c r="H476" s="1">
        <v>100.0</v>
      </c>
      <c r="I476" s="1">
        <v>90.0</v>
      </c>
      <c r="J476" s="1">
        <v>69.0</v>
      </c>
      <c r="K476" s="1">
        <v>85.0</v>
      </c>
      <c r="L476" s="1">
        <v>423.0</v>
      </c>
      <c r="M476" s="1">
        <v>84.6</v>
      </c>
      <c r="N476" s="1">
        <v>76.0</v>
      </c>
      <c r="O476" s="1" t="s">
        <v>21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 t="s">
        <v>742</v>
      </c>
      <c r="B477" s="1" t="s">
        <v>743</v>
      </c>
      <c r="C477" s="1" t="s">
        <v>17</v>
      </c>
      <c r="D477" s="1" t="s">
        <v>40</v>
      </c>
      <c r="E477" s="1" t="s">
        <v>47</v>
      </c>
      <c r="F477" s="1" t="s">
        <v>37</v>
      </c>
      <c r="G477" s="1">
        <v>100.0</v>
      </c>
      <c r="H477" s="1">
        <v>51.0</v>
      </c>
      <c r="I477" s="1">
        <v>41.0</v>
      </c>
      <c r="J477" s="1">
        <v>78.0</v>
      </c>
      <c r="K477" s="1">
        <v>81.0</v>
      </c>
      <c r="L477" s="1">
        <v>351.0</v>
      </c>
      <c r="M477" s="1">
        <v>70.2</v>
      </c>
      <c r="N477" s="1">
        <v>72.0</v>
      </c>
      <c r="O477" s="1" t="s">
        <v>21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 t="s">
        <v>744</v>
      </c>
      <c r="B478" s="1" t="s">
        <v>743</v>
      </c>
      <c r="C478" s="1" t="s">
        <v>17</v>
      </c>
      <c r="D478" s="1" t="s">
        <v>30</v>
      </c>
      <c r="E478" s="1" t="s">
        <v>19</v>
      </c>
      <c r="F478" s="1" t="s">
        <v>20</v>
      </c>
      <c r="G478" s="1">
        <v>74.0</v>
      </c>
      <c r="H478" s="1">
        <v>58.0</v>
      </c>
      <c r="I478" s="1">
        <v>61.0</v>
      </c>
      <c r="J478" s="1">
        <v>56.0</v>
      </c>
      <c r="K478" s="1">
        <v>74.0</v>
      </c>
      <c r="L478" s="1">
        <v>323.0</v>
      </c>
      <c r="M478" s="1">
        <v>64.6</v>
      </c>
      <c r="N478" s="1">
        <v>92.0</v>
      </c>
      <c r="O478" s="1" t="s">
        <v>21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 t="s">
        <v>745</v>
      </c>
      <c r="B479" s="1" t="s">
        <v>526</v>
      </c>
      <c r="C479" s="1" t="s">
        <v>24</v>
      </c>
      <c r="D479" s="1" t="s">
        <v>18</v>
      </c>
      <c r="E479" s="1" t="s">
        <v>19</v>
      </c>
      <c r="F479" s="1" t="s">
        <v>20</v>
      </c>
      <c r="G479" s="1">
        <v>60.0</v>
      </c>
      <c r="H479" s="1">
        <v>65.0</v>
      </c>
      <c r="I479" s="1">
        <v>59.0</v>
      </c>
      <c r="J479" s="1">
        <v>78.0</v>
      </c>
      <c r="K479" s="1">
        <v>48.0</v>
      </c>
      <c r="L479" s="1">
        <v>310.0</v>
      </c>
      <c r="M479" s="1">
        <v>62.0</v>
      </c>
      <c r="N479" s="1">
        <v>94.0</v>
      </c>
      <c r="O479" s="1" t="s">
        <v>21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 t="s">
        <v>746</v>
      </c>
      <c r="B480" s="1" t="s">
        <v>204</v>
      </c>
      <c r="C480" s="1" t="s">
        <v>17</v>
      </c>
      <c r="D480" s="1" t="s">
        <v>25</v>
      </c>
      <c r="E480" s="1" t="s">
        <v>47</v>
      </c>
      <c r="F480" s="1" t="s">
        <v>27</v>
      </c>
      <c r="G480" s="1">
        <v>95.0</v>
      </c>
      <c r="H480" s="1">
        <v>72.0</v>
      </c>
      <c r="I480" s="1">
        <v>59.0</v>
      </c>
      <c r="J480" s="1">
        <v>50.0</v>
      </c>
      <c r="K480" s="1">
        <v>94.0</v>
      </c>
      <c r="L480" s="1">
        <v>370.0</v>
      </c>
      <c r="M480" s="1">
        <v>74.0</v>
      </c>
      <c r="N480" s="1">
        <v>87.0</v>
      </c>
      <c r="O480" s="1" t="s">
        <v>21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 t="s">
        <v>747</v>
      </c>
      <c r="B481" s="1" t="s">
        <v>183</v>
      </c>
      <c r="C481" s="1" t="s">
        <v>17</v>
      </c>
      <c r="D481" s="1" t="s">
        <v>40</v>
      </c>
      <c r="E481" s="1" t="s">
        <v>19</v>
      </c>
      <c r="F481" s="1" t="s">
        <v>20</v>
      </c>
      <c r="G481" s="1">
        <v>71.0</v>
      </c>
      <c r="H481" s="1">
        <v>80.0</v>
      </c>
      <c r="I481" s="1">
        <v>65.0</v>
      </c>
      <c r="J481" s="1">
        <v>46.0</v>
      </c>
      <c r="K481" s="1">
        <v>79.0</v>
      </c>
      <c r="L481" s="1">
        <v>341.0</v>
      </c>
      <c r="M481" s="1">
        <v>68.2</v>
      </c>
      <c r="N481" s="1">
        <v>62.0</v>
      </c>
      <c r="O481" s="1" t="s">
        <v>21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 t="s">
        <v>748</v>
      </c>
      <c r="B482" s="1" t="s">
        <v>749</v>
      </c>
      <c r="C482" s="1" t="s">
        <v>17</v>
      </c>
      <c r="D482" s="1" t="s">
        <v>54</v>
      </c>
      <c r="E482" s="1" t="s">
        <v>19</v>
      </c>
      <c r="F482" s="1" t="s">
        <v>20</v>
      </c>
      <c r="G482" s="1">
        <v>84.0</v>
      </c>
      <c r="H482" s="1">
        <v>87.0</v>
      </c>
      <c r="I482" s="1">
        <v>71.0</v>
      </c>
      <c r="J482" s="1">
        <v>73.0</v>
      </c>
      <c r="K482" s="1">
        <v>86.0</v>
      </c>
      <c r="L482" s="1">
        <v>401.0</v>
      </c>
      <c r="M482" s="1">
        <v>80.2</v>
      </c>
      <c r="N482" s="1">
        <v>86.0</v>
      </c>
      <c r="O482" s="1" t="s">
        <v>21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 t="s">
        <v>750</v>
      </c>
      <c r="B483" s="1" t="s">
        <v>139</v>
      </c>
      <c r="C483" s="1" t="s">
        <v>17</v>
      </c>
      <c r="D483" s="1" t="s">
        <v>40</v>
      </c>
      <c r="E483" s="1" t="s">
        <v>26</v>
      </c>
      <c r="F483" s="1" t="s">
        <v>37</v>
      </c>
      <c r="G483" s="1">
        <v>48.0</v>
      </c>
      <c r="H483" s="1">
        <v>88.0</v>
      </c>
      <c r="I483" s="1">
        <v>95.0</v>
      </c>
      <c r="J483" s="1">
        <v>81.0</v>
      </c>
      <c r="K483" s="1">
        <v>78.0</v>
      </c>
      <c r="L483" s="1">
        <v>390.0</v>
      </c>
      <c r="M483" s="1">
        <v>78.0</v>
      </c>
      <c r="N483" s="1">
        <v>80.0</v>
      </c>
      <c r="O483" s="1" t="s">
        <v>21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 t="s">
        <v>751</v>
      </c>
      <c r="B484" s="1" t="s">
        <v>440</v>
      </c>
      <c r="C484" s="1" t="s">
        <v>24</v>
      </c>
      <c r="D484" s="1" t="s">
        <v>54</v>
      </c>
      <c r="E484" s="1" t="s">
        <v>19</v>
      </c>
      <c r="F484" s="1" t="s">
        <v>77</v>
      </c>
      <c r="G484" s="1">
        <v>84.0</v>
      </c>
      <c r="H484" s="1">
        <v>71.0</v>
      </c>
      <c r="I484" s="1">
        <v>99.0</v>
      </c>
      <c r="J484" s="1">
        <v>57.0</v>
      </c>
      <c r="K484" s="1">
        <v>92.0</v>
      </c>
      <c r="L484" s="1">
        <v>403.0</v>
      </c>
      <c r="M484" s="1">
        <v>80.6</v>
      </c>
      <c r="N484" s="1">
        <v>64.0</v>
      </c>
      <c r="O484" s="1" t="s">
        <v>21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 t="s">
        <v>752</v>
      </c>
      <c r="B485" s="1" t="s">
        <v>623</v>
      </c>
      <c r="C485" s="1" t="s">
        <v>17</v>
      </c>
      <c r="D485" s="1" t="s">
        <v>30</v>
      </c>
      <c r="E485" s="1" t="s">
        <v>47</v>
      </c>
      <c r="F485" s="1" t="s">
        <v>62</v>
      </c>
      <c r="G485" s="1">
        <v>45.0</v>
      </c>
      <c r="H485" s="1">
        <v>86.0</v>
      </c>
      <c r="I485" s="1">
        <v>64.0</v>
      </c>
      <c r="J485" s="1">
        <v>99.0</v>
      </c>
      <c r="K485" s="1">
        <v>81.0</v>
      </c>
      <c r="L485" s="1">
        <v>375.0</v>
      </c>
      <c r="M485" s="1">
        <v>75.0</v>
      </c>
      <c r="N485" s="1">
        <v>98.0</v>
      </c>
      <c r="O485" s="1" t="s">
        <v>21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 t="s">
        <v>753</v>
      </c>
      <c r="B486" s="1" t="s">
        <v>754</v>
      </c>
      <c r="C486" s="1" t="s">
        <v>17</v>
      </c>
      <c r="D486" s="1" t="s">
        <v>54</v>
      </c>
      <c r="E486" s="1" t="s">
        <v>26</v>
      </c>
      <c r="F486" s="1" t="s">
        <v>55</v>
      </c>
      <c r="G486" s="1">
        <v>68.0</v>
      </c>
      <c r="H486" s="1">
        <v>53.0</v>
      </c>
      <c r="I486" s="1">
        <v>45.0</v>
      </c>
      <c r="J486" s="1">
        <v>64.0</v>
      </c>
      <c r="K486" s="1">
        <v>40.0</v>
      </c>
      <c r="L486" s="1">
        <v>270.0</v>
      </c>
      <c r="M486" s="1">
        <v>54.0</v>
      </c>
      <c r="N486" s="1">
        <v>77.0</v>
      </c>
      <c r="O486" s="1" t="s">
        <v>21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 t="s">
        <v>755</v>
      </c>
      <c r="B487" s="1" t="s">
        <v>550</v>
      </c>
      <c r="C487" s="1" t="s">
        <v>24</v>
      </c>
      <c r="D487" s="1" t="s">
        <v>40</v>
      </c>
      <c r="E487" s="1" t="s">
        <v>19</v>
      </c>
      <c r="F487" s="1" t="s">
        <v>77</v>
      </c>
      <c r="G487" s="1">
        <v>98.0</v>
      </c>
      <c r="H487" s="1">
        <v>88.0</v>
      </c>
      <c r="I487" s="1">
        <v>63.0</v>
      </c>
      <c r="J487" s="1">
        <v>64.0</v>
      </c>
      <c r="K487" s="1">
        <v>49.0</v>
      </c>
      <c r="L487" s="1">
        <v>362.0</v>
      </c>
      <c r="M487" s="1">
        <v>72.4</v>
      </c>
      <c r="N487" s="1">
        <v>92.0</v>
      </c>
      <c r="O487" s="1" t="s">
        <v>21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 t="s">
        <v>756</v>
      </c>
      <c r="B488" s="1" t="s">
        <v>459</v>
      </c>
      <c r="C488" s="1" t="s">
        <v>17</v>
      </c>
      <c r="D488" s="1" t="s">
        <v>18</v>
      </c>
      <c r="E488" s="1" t="s">
        <v>19</v>
      </c>
      <c r="F488" s="1" t="s">
        <v>44</v>
      </c>
      <c r="G488" s="1">
        <v>59.0</v>
      </c>
      <c r="H488" s="1">
        <v>77.0</v>
      </c>
      <c r="I488" s="1">
        <v>97.0</v>
      </c>
      <c r="J488" s="1">
        <v>68.0</v>
      </c>
      <c r="K488" s="1">
        <v>100.0</v>
      </c>
      <c r="L488" s="1">
        <v>401.0</v>
      </c>
      <c r="M488" s="1">
        <v>80.2</v>
      </c>
      <c r="N488" s="1">
        <v>72.0</v>
      </c>
      <c r="O488" s="1" t="s">
        <v>21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 t="s">
        <v>757</v>
      </c>
      <c r="B489" s="1" t="s">
        <v>295</v>
      </c>
      <c r="C489" s="1" t="s">
        <v>17</v>
      </c>
      <c r="D489" s="1" t="s">
        <v>30</v>
      </c>
      <c r="E489" s="1" t="s">
        <v>19</v>
      </c>
      <c r="F489" s="1" t="s">
        <v>37</v>
      </c>
      <c r="G489" s="1">
        <v>40.0</v>
      </c>
      <c r="H489" s="1">
        <v>66.0</v>
      </c>
      <c r="I489" s="1">
        <v>51.0</v>
      </c>
      <c r="J489" s="1">
        <v>65.0</v>
      </c>
      <c r="K489" s="1">
        <v>63.0</v>
      </c>
      <c r="L489" s="1">
        <v>285.0</v>
      </c>
      <c r="M489" s="1">
        <v>57.0</v>
      </c>
      <c r="N489" s="1">
        <v>66.0</v>
      </c>
      <c r="O489" s="1" t="s">
        <v>21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 t="s">
        <v>758</v>
      </c>
      <c r="B490" s="1" t="s">
        <v>586</v>
      </c>
      <c r="C490" s="1" t="s">
        <v>17</v>
      </c>
      <c r="D490" s="1" t="s">
        <v>18</v>
      </c>
      <c r="E490" s="1" t="s">
        <v>47</v>
      </c>
      <c r="F490" s="1" t="s">
        <v>77</v>
      </c>
      <c r="G490" s="1">
        <v>92.0</v>
      </c>
      <c r="H490" s="1">
        <v>73.0</v>
      </c>
      <c r="I490" s="1">
        <v>82.0</v>
      </c>
      <c r="J490" s="1">
        <v>45.0</v>
      </c>
      <c r="K490" s="1">
        <v>69.0</v>
      </c>
      <c r="L490" s="1">
        <v>361.0</v>
      </c>
      <c r="M490" s="1">
        <v>72.2</v>
      </c>
      <c r="N490" s="1">
        <v>62.0</v>
      </c>
      <c r="O490" s="1" t="s">
        <v>21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 t="s">
        <v>759</v>
      </c>
      <c r="B491" s="1" t="s">
        <v>760</v>
      </c>
      <c r="C491" s="1" t="s">
        <v>17</v>
      </c>
      <c r="D491" s="1" t="s">
        <v>54</v>
      </c>
      <c r="E491" s="1" t="s">
        <v>47</v>
      </c>
      <c r="F491" s="1" t="s">
        <v>77</v>
      </c>
      <c r="G491" s="1">
        <v>47.0</v>
      </c>
      <c r="H491" s="1">
        <v>54.0</v>
      </c>
      <c r="I491" s="1">
        <v>67.0</v>
      </c>
      <c r="J491" s="1">
        <v>75.0</v>
      </c>
      <c r="K491" s="1">
        <v>70.0</v>
      </c>
      <c r="L491" s="1">
        <v>313.0</v>
      </c>
      <c r="M491" s="1">
        <v>62.6</v>
      </c>
      <c r="N491" s="1">
        <v>89.0</v>
      </c>
      <c r="O491" s="1" t="s">
        <v>21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 t="s">
        <v>761</v>
      </c>
      <c r="B492" s="1" t="s">
        <v>115</v>
      </c>
      <c r="C492" s="1" t="s">
        <v>17</v>
      </c>
      <c r="D492" s="1" t="s">
        <v>18</v>
      </c>
      <c r="E492" s="1" t="s">
        <v>47</v>
      </c>
      <c r="F492" s="1" t="s">
        <v>37</v>
      </c>
      <c r="G492" s="1">
        <v>86.0</v>
      </c>
      <c r="H492" s="1">
        <v>44.0</v>
      </c>
      <c r="I492" s="1">
        <v>72.0</v>
      </c>
      <c r="J492" s="1">
        <v>69.0</v>
      </c>
      <c r="K492" s="1">
        <v>93.0</v>
      </c>
      <c r="L492" s="1">
        <v>364.0</v>
      </c>
      <c r="M492" s="1">
        <v>72.8</v>
      </c>
      <c r="N492" s="1">
        <v>68.0</v>
      </c>
      <c r="O492" s="1" t="s">
        <v>21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 t="s">
        <v>762</v>
      </c>
      <c r="B493" s="1" t="s">
        <v>638</v>
      </c>
      <c r="C493" s="1" t="s">
        <v>24</v>
      </c>
      <c r="D493" s="1" t="s">
        <v>25</v>
      </c>
      <c r="E493" s="1" t="s">
        <v>19</v>
      </c>
      <c r="F493" s="1" t="s">
        <v>55</v>
      </c>
      <c r="G493" s="1">
        <v>81.0</v>
      </c>
      <c r="H493" s="1">
        <v>54.0</v>
      </c>
      <c r="I493" s="1">
        <v>68.0</v>
      </c>
      <c r="J493" s="1">
        <v>86.0</v>
      </c>
      <c r="K493" s="1">
        <v>88.0</v>
      </c>
      <c r="L493" s="1">
        <v>377.0</v>
      </c>
      <c r="M493" s="1">
        <v>75.4</v>
      </c>
      <c r="N493" s="1">
        <v>66.0</v>
      </c>
      <c r="O493" s="1" t="s">
        <v>21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 t="s">
        <v>763</v>
      </c>
      <c r="B494" s="1" t="s">
        <v>576</v>
      </c>
      <c r="C494" s="1" t="s">
        <v>24</v>
      </c>
      <c r="D494" s="1" t="s">
        <v>18</v>
      </c>
      <c r="E494" s="1" t="s">
        <v>47</v>
      </c>
      <c r="F494" s="1" t="s">
        <v>77</v>
      </c>
      <c r="G494" s="1">
        <v>53.0</v>
      </c>
      <c r="H494" s="1">
        <v>56.0</v>
      </c>
      <c r="I494" s="1">
        <v>55.0</v>
      </c>
      <c r="J494" s="1">
        <v>46.0</v>
      </c>
      <c r="K494" s="1">
        <v>52.0</v>
      </c>
      <c r="L494" s="1">
        <v>262.0</v>
      </c>
      <c r="M494" s="1">
        <v>52.4</v>
      </c>
      <c r="N494" s="1">
        <v>70.0</v>
      </c>
      <c r="O494" s="1" t="s">
        <v>21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 t="s">
        <v>764</v>
      </c>
      <c r="B495" s="1" t="s">
        <v>765</v>
      </c>
      <c r="C495" s="1" t="s">
        <v>24</v>
      </c>
      <c r="D495" s="1" t="s">
        <v>40</v>
      </c>
      <c r="E495" s="1" t="s">
        <v>19</v>
      </c>
      <c r="F495" s="1" t="s">
        <v>77</v>
      </c>
      <c r="G495" s="1">
        <v>63.0</v>
      </c>
      <c r="H495" s="1">
        <v>68.0</v>
      </c>
      <c r="I495" s="1">
        <v>100.0</v>
      </c>
      <c r="J495" s="1">
        <v>58.0</v>
      </c>
      <c r="K495" s="1">
        <v>80.0</v>
      </c>
      <c r="L495" s="1">
        <v>369.0</v>
      </c>
      <c r="M495" s="1">
        <v>73.8</v>
      </c>
      <c r="N495" s="1">
        <v>65.0</v>
      </c>
      <c r="O495" s="1" t="s">
        <v>21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 t="s">
        <v>766</v>
      </c>
      <c r="B496" s="1" t="s">
        <v>121</v>
      </c>
      <c r="C496" s="1" t="s">
        <v>24</v>
      </c>
      <c r="D496" s="1" t="s">
        <v>40</v>
      </c>
      <c r="E496" s="1" t="s">
        <v>47</v>
      </c>
      <c r="F496" s="1" t="s">
        <v>55</v>
      </c>
      <c r="G496" s="1">
        <v>92.0</v>
      </c>
      <c r="H496" s="1">
        <v>80.0</v>
      </c>
      <c r="I496" s="1">
        <v>71.0</v>
      </c>
      <c r="J496" s="1">
        <v>85.0</v>
      </c>
      <c r="K496" s="1">
        <v>46.0</v>
      </c>
      <c r="L496" s="1">
        <v>374.0</v>
      </c>
      <c r="M496" s="1">
        <v>74.8</v>
      </c>
      <c r="N496" s="1">
        <v>98.0</v>
      </c>
      <c r="O496" s="1" t="s">
        <v>21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 t="s">
        <v>767</v>
      </c>
      <c r="B497" s="1" t="s">
        <v>364</v>
      </c>
      <c r="C497" s="1" t="s">
        <v>24</v>
      </c>
      <c r="D497" s="1" t="s">
        <v>25</v>
      </c>
      <c r="E497" s="1" t="s">
        <v>19</v>
      </c>
      <c r="F497" s="1" t="s">
        <v>62</v>
      </c>
      <c r="G497" s="1">
        <v>69.0</v>
      </c>
      <c r="H497" s="1">
        <v>80.0</v>
      </c>
      <c r="I497" s="1">
        <v>96.0</v>
      </c>
      <c r="J497" s="1">
        <v>76.0</v>
      </c>
      <c r="K497" s="1">
        <v>50.0</v>
      </c>
      <c r="L497" s="1">
        <v>371.0</v>
      </c>
      <c r="M497" s="1">
        <v>74.2</v>
      </c>
      <c r="N497" s="1">
        <v>92.0</v>
      </c>
      <c r="O497" s="1" t="s">
        <v>21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 t="s">
        <v>768</v>
      </c>
      <c r="B498" s="1" t="s">
        <v>263</v>
      </c>
      <c r="C498" s="1" t="s">
        <v>24</v>
      </c>
      <c r="D498" s="1" t="s">
        <v>54</v>
      </c>
      <c r="E498" s="1" t="s">
        <v>47</v>
      </c>
      <c r="F498" s="1" t="s">
        <v>27</v>
      </c>
      <c r="G498" s="1">
        <v>85.0</v>
      </c>
      <c r="H498" s="1">
        <v>98.0</v>
      </c>
      <c r="I498" s="1">
        <v>49.0</v>
      </c>
      <c r="J498" s="1">
        <v>86.0</v>
      </c>
      <c r="K498" s="1">
        <v>48.0</v>
      </c>
      <c r="L498" s="1">
        <v>366.0</v>
      </c>
      <c r="M498" s="1">
        <v>73.2</v>
      </c>
      <c r="N498" s="1">
        <v>79.0</v>
      </c>
      <c r="O498" s="1" t="s">
        <v>21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 t="s">
        <v>769</v>
      </c>
      <c r="B499" s="1" t="s">
        <v>488</v>
      </c>
      <c r="C499" s="1" t="s">
        <v>24</v>
      </c>
      <c r="D499" s="1" t="s">
        <v>40</v>
      </c>
      <c r="E499" s="1" t="s">
        <v>19</v>
      </c>
      <c r="F499" s="1" t="s">
        <v>41</v>
      </c>
      <c r="G499" s="1">
        <v>98.0</v>
      </c>
      <c r="H499" s="1">
        <v>83.0</v>
      </c>
      <c r="I499" s="1">
        <v>64.0</v>
      </c>
      <c r="J499" s="1">
        <v>96.0</v>
      </c>
      <c r="K499" s="1">
        <v>61.0</v>
      </c>
      <c r="L499" s="1">
        <v>402.0</v>
      </c>
      <c r="M499" s="1">
        <v>80.4</v>
      </c>
      <c r="N499" s="1">
        <v>74.0</v>
      </c>
      <c r="O499" s="1" t="s">
        <v>21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 t="s">
        <v>770</v>
      </c>
      <c r="B500" s="1" t="s">
        <v>295</v>
      </c>
      <c r="C500" s="1" t="s">
        <v>17</v>
      </c>
      <c r="D500" s="1" t="s">
        <v>18</v>
      </c>
      <c r="E500" s="1" t="s">
        <v>19</v>
      </c>
      <c r="F500" s="1" t="s">
        <v>27</v>
      </c>
      <c r="G500" s="1">
        <v>84.0</v>
      </c>
      <c r="H500" s="1">
        <v>76.0</v>
      </c>
      <c r="I500" s="1">
        <v>62.0</v>
      </c>
      <c r="J500" s="1">
        <v>60.0</v>
      </c>
      <c r="K500" s="1">
        <v>64.0</v>
      </c>
      <c r="L500" s="1">
        <v>346.0</v>
      </c>
      <c r="M500" s="1">
        <v>69.2</v>
      </c>
      <c r="N500" s="1">
        <v>64.0</v>
      </c>
      <c r="O500" s="1" t="s">
        <v>21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 t="s">
        <v>771</v>
      </c>
      <c r="B501" s="1" t="s">
        <v>16</v>
      </c>
      <c r="C501" s="1" t="s">
        <v>17</v>
      </c>
      <c r="D501" s="1" t="s">
        <v>25</v>
      </c>
      <c r="E501" s="1" t="s">
        <v>19</v>
      </c>
      <c r="F501" s="1" t="s">
        <v>37</v>
      </c>
      <c r="G501" s="1">
        <v>66.0</v>
      </c>
      <c r="H501" s="1">
        <v>54.0</v>
      </c>
      <c r="I501" s="1">
        <v>81.0</v>
      </c>
      <c r="J501" s="1">
        <v>44.0</v>
      </c>
      <c r="K501" s="1">
        <v>61.0</v>
      </c>
      <c r="L501" s="1">
        <v>306.0</v>
      </c>
      <c r="M501" s="1">
        <v>61.2</v>
      </c>
      <c r="N501" s="1">
        <v>71.0</v>
      </c>
      <c r="O501" s="1" t="s">
        <v>21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29"/>
    <col customWidth="1" min="3" max="3" width="20.57"/>
  </cols>
  <sheetData>
    <row r="1">
      <c r="A1" s="3" t="s">
        <v>772</v>
      </c>
      <c r="B1" s="4">
        <f>COUNTA(Student_Data!A2:A501)</f>
        <v>500</v>
      </c>
    </row>
    <row r="3">
      <c r="A3" s="5" t="s">
        <v>773</v>
      </c>
    </row>
    <row r="4"/>
    <row r="5"/>
    <row r="6"/>
    <row r="7"/>
    <row r="8"/>
    <row r="9"/>
    <row r="12">
      <c r="A12" s="7" t="s">
        <v>776</v>
      </c>
      <c r="B12" s="6" t="s">
        <v>5</v>
      </c>
      <c r="C12" s="6" t="s">
        <v>774</v>
      </c>
    </row>
    <row r="13">
      <c r="B13" s="6"/>
      <c r="C13" s="6">
        <v>0.0</v>
      </c>
    </row>
    <row r="14">
      <c r="B14" s="6" t="s">
        <v>44</v>
      </c>
      <c r="C14" s="6">
        <v>64.0</v>
      </c>
    </row>
    <row r="15">
      <c r="B15" s="6" t="s">
        <v>20</v>
      </c>
      <c r="C15" s="6">
        <v>69.0</v>
      </c>
    </row>
    <row r="16">
      <c r="B16" s="6" t="s">
        <v>37</v>
      </c>
      <c r="C16" s="6">
        <v>55.0</v>
      </c>
    </row>
    <row r="17">
      <c r="B17" s="6" t="s">
        <v>55</v>
      </c>
      <c r="C17" s="6">
        <v>66.0</v>
      </c>
    </row>
    <row r="18">
      <c r="B18" s="6" t="s">
        <v>27</v>
      </c>
      <c r="C18" s="6">
        <v>64.0</v>
      </c>
    </row>
    <row r="19">
      <c r="B19" s="6" t="s">
        <v>41</v>
      </c>
      <c r="C19" s="6">
        <v>65.0</v>
      </c>
    </row>
    <row r="20">
      <c r="B20" s="6" t="s">
        <v>77</v>
      </c>
      <c r="C20" s="6">
        <v>64.0</v>
      </c>
    </row>
    <row r="21">
      <c r="B21" s="6" t="s">
        <v>62</v>
      </c>
      <c r="C21" s="6">
        <v>53.0</v>
      </c>
    </row>
    <row r="22">
      <c r="B22" s="6" t="s">
        <v>775</v>
      </c>
      <c r="C22" s="6">
        <v>500.0</v>
      </c>
    </row>
    <row r="25">
      <c r="A25" s="8" t="s">
        <v>777</v>
      </c>
      <c r="B25" s="9">
        <f>COUNTIF(Student_Data!G2:G501,"&gt;75")</f>
        <v>207</v>
      </c>
    </row>
    <row r="26">
      <c r="A26" s="9"/>
      <c r="B26" s="9"/>
    </row>
    <row r="27">
      <c r="A27" s="8" t="s">
        <v>778</v>
      </c>
      <c r="B27" s="9">
        <f>COUNTIF(Student_Data!N2:N501,"&gt;90")</f>
        <v>135</v>
      </c>
    </row>
  </sheetData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6.43"/>
  </cols>
  <sheetData>
    <row r="1">
      <c r="A1" s="8" t="s">
        <v>779</v>
      </c>
      <c r="B1" s="9">
        <f>COUNTIFS(Student_Data!C2:C501,"*Female*",Student_Data!D2:D501,"10")</f>
        <v>60</v>
      </c>
    </row>
    <row r="2">
      <c r="A2" s="9"/>
      <c r="B2" s="9"/>
    </row>
    <row r="3">
      <c r="A3" s="8" t="s">
        <v>780</v>
      </c>
      <c r="B3" s="9">
        <f>COUNTIFS(Student_Data!O2:O501,"Pass",Student_Data!N2:N501,"&lt;75")</f>
        <v>169</v>
      </c>
    </row>
    <row r="4">
      <c r="A4" s="9"/>
      <c r="B4" s="9"/>
    </row>
    <row r="5">
      <c r="A5" s="8" t="s">
        <v>781</v>
      </c>
      <c r="B5" s="9">
        <f>COUNTIFS(Student_Data!G2:G501,"&gt;80",Student_Data!H2:H501,"&gt;80")</f>
        <v>51</v>
      </c>
    </row>
    <row r="6">
      <c r="A6" s="9"/>
      <c r="B6" s="9"/>
    </row>
    <row r="7">
      <c r="A7" s="8" t="s">
        <v>782</v>
      </c>
      <c r="B7" s="9">
        <f>COUNTIFS(Student_Data!D2:D501,9,Student_Data!E2:E501,"A")</f>
        <v>38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6.86"/>
  </cols>
  <sheetData>
    <row r="1">
      <c r="A1" s="8" t="s">
        <v>783</v>
      </c>
      <c r="B1" s="9">
        <f>SUMIF(Student_Data!F2:F501,"Delhi",Student_Data!L2:L501)</f>
        <v>19058</v>
      </c>
    </row>
    <row r="2">
      <c r="A2" s="9"/>
      <c r="B2" s="9"/>
    </row>
    <row r="3">
      <c r="A3" s="8" t="s">
        <v>784</v>
      </c>
      <c r="B3" s="9">
        <f>SUMIF(Student_Data!D2:D501,8,Student_Data!G2:G501)</f>
        <v>6288</v>
      </c>
    </row>
    <row r="4">
      <c r="A4" s="9"/>
      <c r="B4" s="9"/>
    </row>
    <row r="5">
      <c r="A5" s="8" t="s">
        <v>785</v>
      </c>
      <c r="B5" s="9">
        <f>SUMIFS(Student_Data!L2:L501,Student_Data!C2:C501,"Female",Student_Data!F2:F501,"Mumbai")</f>
        <v>10649</v>
      </c>
    </row>
    <row r="6">
      <c r="A6" s="9"/>
      <c r="B6" s="9"/>
    </row>
    <row r="7">
      <c r="A7" s="8" t="s">
        <v>786</v>
      </c>
      <c r="B7" s="9">
        <f>SUMIF(Student_Data!E2:E501,"B",Student_Data!N2:N501)</f>
        <v>13512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71"/>
  </cols>
  <sheetData>
    <row r="1">
      <c r="A1" s="8" t="s">
        <v>787</v>
      </c>
      <c r="B1" s="10">
        <f>AVERAGEIF(Student_Data!D2:D501,10,Student_Data!M2:M501)</f>
        <v>69.95700935</v>
      </c>
      <c r="C1" s="9"/>
    </row>
    <row r="2">
      <c r="A2" s="9"/>
      <c r="B2" s="9"/>
      <c r="C2" s="9"/>
    </row>
    <row r="3">
      <c r="A3" s="8" t="s">
        <v>788</v>
      </c>
      <c r="B3" s="10">
        <f>AVERAGEIF(Student_Data!C2:C501,"Male",Student_Data!I2:I501)</f>
        <v>70.08433735</v>
      </c>
      <c r="C3" s="9"/>
    </row>
    <row r="4">
      <c r="A4" s="9"/>
      <c r="B4" s="9"/>
      <c r="C4" s="9"/>
    </row>
    <row r="5">
      <c r="A5" s="8" t="s">
        <v>789</v>
      </c>
      <c r="B5" s="10">
        <f>AVERAGEIF(Student_Data!F2:F501,"Jaipur",Student_Data!M2:M501)</f>
        <v>71.31212121</v>
      </c>
      <c r="C5" s="9"/>
    </row>
    <row r="6">
      <c r="A6" s="9"/>
      <c r="B6" s="9"/>
      <c r="C6" s="9"/>
    </row>
    <row r="7">
      <c r="A7" s="8" t="s">
        <v>790</v>
      </c>
      <c r="B7" s="10">
        <f>AVERAGEIF(Student_Data!O2:O501,"Pass",Student_Data!N2:N501)</f>
        <v>80.5490982</v>
      </c>
      <c r="C7" s="9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4.0"/>
    <col customWidth="1" min="2" max="2" width="51.43"/>
    <col customWidth="1" min="3" max="3" width="64.86"/>
  </cols>
  <sheetData>
    <row r="1">
      <c r="A1" s="8" t="s">
        <v>791</v>
      </c>
      <c r="B1" s="8" t="s">
        <v>792</v>
      </c>
      <c r="C1" s="8" t="s">
        <v>793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 t="str">
        <f>IF(Student_Data!M2&gt;85,"Topper","Average")</f>
        <v>Average</v>
      </c>
      <c r="B2" s="9" t="str">
        <f>IF(Student_Data!N2&lt;70,"Low","OK")</f>
        <v>OK</v>
      </c>
      <c r="C2" s="9" t="str">
        <f>IF(OR(Student_Data!G2&lt;40,Student_Data!H2&lt;40,Student_Data!I2&lt;40,Student_Data!J2&lt;40,Student_Data!K2&lt;40),"Fail","Pass")</f>
        <v>Pass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 t="str">
        <f>IF(Student_Data!M3&gt;85,"Topper","Average")</f>
        <v>Topper</v>
      </c>
      <c r="B3" s="9" t="str">
        <f>IF(Student_Data!N3&lt;70,"Low","OK")</f>
        <v>OK</v>
      </c>
      <c r="C3" s="9" t="str">
        <f>IF(OR(Student_Data!G3&lt;40,Student_Data!H3&lt;40,Student_Data!I3&lt;40,Student_Data!J3&lt;40,Student_Data!K3&lt;40),"Fail","Pass")</f>
        <v>Pass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 t="str">
        <f>IF(Student_Data!M4&gt;85,"Topper","Average")</f>
        <v>Average</v>
      </c>
      <c r="B4" s="9" t="str">
        <f>IF(Student_Data!N4&lt;70,"Low","OK")</f>
        <v>OK</v>
      </c>
      <c r="C4" s="9" t="str">
        <f>IF(OR(Student_Data!G4&lt;40,Student_Data!H4&lt;40,Student_Data!I4&lt;40,Student_Data!J4&lt;40,Student_Data!K4&lt;40),"Fail","Pass")</f>
        <v>Pass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 t="str">
        <f>IF(Student_Data!M5&gt;85,"Topper","Average")</f>
        <v>Average</v>
      </c>
      <c r="B5" s="9" t="str">
        <f>IF(Student_Data!N5&lt;70,"Low","OK")</f>
        <v>OK</v>
      </c>
      <c r="C5" s="9" t="str">
        <f>IF(OR(Student_Data!G5&lt;40,Student_Data!H5&lt;40,Student_Data!I5&lt;40,Student_Data!J5&lt;40,Student_Data!K5&lt;40),"Fail","Pass")</f>
        <v>Pass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 t="str">
        <f>IF(Student_Data!M6&gt;85,"Topper","Average")</f>
        <v>Average</v>
      </c>
      <c r="B6" s="9" t="str">
        <f>IF(Student_Data!N6&lt;70,"Low","OK")</f>
        <v>OK</v>
      </c>
      <c r="C6" s="9" t="str">
        <f>IF(OR(Student_Data!G6&lt;40,Student_Data!H6&lt;40,Student_Data!I6&lt;40,Student_Data!J6&lt;40,Student_Data!K6&lt;40),"Fail","Pass")</f>
        <v>Pass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 t="str">
        <f>IF(Student_Data!M7&gt;85,"Topper","Average")</f>
        <v>Topper</v>
      </c>
      <c r="B7" s="9" t="str">
        <f>IF(Student_Data!N7&lt;70,"Low","OK")</f>
        <v>Low</v>
      </c>
      <c r="C7" s="9" t="str">
        <f>IF(OR(Student_Data!G7&lt;40,Student_Data!H7&lt;40,Student_Data!I7&lt;40,Student_Data!J7&lt;40,Student_Data!K7&lt;40),"Fail","Pass")</f>
        <v>Pass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 t="str">
        <f>IF(Student_Data!M8&gt;85,"Topper","Average")</f>
        <v>Average</v>
      </c>
      <c r="B8" s="9" t="str">
        <f>IF(Student_Data!N8&lt;70,"Low","OK")</f>
        <v>OK</v>
      </c>
      <c r="C8" s="9" t="str">
        <f>IF(OR(Student_Data!G8&lt;40,Student_Data!H8&lt;40,Student_Data!I8&lt;40,Student_Data!J8&lt;40,Student_Data!K8&lt;40),"Fail","Pass")</f>
        <v>Pass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 t="str">
        <f>IF(Student_Data!M9&gt;85,"Topper","Average")</f>
        <v>Average</v>
      </c>
      <c r="B9" s="9" t="str">
        <f>IF(Student_Data!N9&lt;70,"Low","OK")</f>
        <v>Low</v>
      </c>
      <c r="C9" s="9" t="str">
        <f>IF(OR(Student_Data!G9&lt;40,Student_Data!H9&lt;40,Student_Data!I9&lt;40,Student_Data!J9&lt;40,Student_Data!K9&lt;40),"Fail","Pass")</f>
        <v>Pass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 t="str">
        <f>IF(Student_Data!M10&gt;85,"Topper","Average")</f>
        <v>Topper</v>
      </c>
      <c r="B10" s="9" t="str">
        <f>IF(Student_Data!N10&lt;70,"Low","OK")</f>
        <v>OK</v>
      </c>
      <c r="C10" s="9" t="str">
        <f>IF(OR(Student_Data!G10&lt;40,Student_Data!H10&lt;40,Student_Data!I10&lt;40,Student_Data!J10&lt;40,Student_Data!K10&lt;40),"Fail","Pass")</f>
        <v>Pass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 t="str">
        <f>IF(Student_Data!M11&gt;85,"Topper","Average")</f>
        <v>Average</v>
      </c>
      <c r="B11" s="9" t="str">
        <f>IF(Student_Data!N11&lt;70,"Low","OK")</f>
        <v>OK</v>
      </c>
      <c r="C11" s="9" t="str">
        <f>IF(OR(Student_Data!G11&lt;40,Student_Data!H11&lt;40,Student_Data!I11&lt;40,Student_Data!J11&lt;40,Student_Data!K11&lt;40),"Fail","Pass")</f>
        <v>Pass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 t="str">
        <f>IF(Student_Data!M12&gt;85,"Topper","Average")</f>
        <v>Average</v>
      </c>
      <c r="B12" s="9" t="str">
        <f>IF(Student_Data!N12&lt;70,"Low","OK")</f>
        <v>OK</v>
      </c>
      <c r="C12" s="9" t="str">
        <f>IF(OR(Student_Data!G12&lt;40,Student_Data!H12&lt;40,Student_Data!I12&lt;40,Student_Data!J12&lt;40,Student_Data!K12&lt;40),"Fail","Pass")</f>
        <v>Pass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 t="str">
        <f>IF(Student_Data!M13&gt;85,"Topper","Average")</f>
        <v>Average</v>
      </c>
      <c r="B13" s="9" t="str">
        <f>IF(Student_Data!N13&lt;70,"Low","OK")</f>
        <v>OK</v>
      </c>
      <c r="C13" s="9" t="str">
        <f>IF(OR(Student_Data!G13&lt;40,Student_Data!H13&lt;40,Student_Data!I13&lt;40,Student_Data!J13&lt;40,Student_Data!K13&lt;40),"Fail","Pass")</f>
        <v>Pass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 t="str">
        <f>IF(Student_Data!M14&gt;85,"Topper","Average")</f>
        <v>Average</v>
      </c>
      <c r="B14" s="9" t="str">
        <f>IF(Student_Data!N14&lt;70,"Low","OK")</f>
        <v>Low</v>
      </c>
      <c r="C14" s="9" t="str">
        <f>IF(OR(Student_Data!G14&lt;40,Student_Data!H14&lt;40,Student_Data!I14&lt;40,Student_Data!J14&lt;40,Student_Data!K14&lt;40),"Fail","Pass")</f>
        <v>Pass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 t="str">
        <f>IF(Student_Data!M15&gt;85,"Topper","Average")</f>
        <v>Topper</v>
      </c>
      <c r="B15" s="9" t="str">
        <f>IF(Student_Data!N15&lt;70,"Low","OK")</f>
        <v>OK</v>
      </c>
      <c r="C15" s="9" t="str">
        <f>IF(OR(Student_Data!G15&lt;40,Student_Data!H15&lt;40,Student_Data!I15&lt;40,Student_Data!J15&lt;40,Student_Data!K15&lt;40),"Fail","Pass")</f>
        <v>Pass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 t="str">
        <f>IF(Student_Data!M16&gt;85,"Topper","Average")</f>
        <v>Average</v>
      </c>
      <c r="B16" s="9" t="str">
        <f>IF(Student_Data!N16&lt;70,"Low","OK")</f>
        <v>Low</v>
      </c>
      <c r="C16" s="9" t="str">
        <f>IF(OR(Student_Data!G16&lt;40,Student_Data!H16&lt;40,Student_Data!I16&lt;40,Student_Data!J16&lt;40,Student_Data!K16&lt;40),"Fail","Pass")</f>
        <v>Pass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 t="str">
        <f>IF(Student_Data!M17&gt;85,"Topper","Average")</f>
        <v>Average</v>
      </c>
      <c r="B17" s="9" t="str">
        <f>IF(Student_Data!N17&lt;70,"Low","OK")</f>
        <v>OK</v>
      </c>
      <c r="C17" s="9" t="str">
        <f>IF(OR(Student_Data!G17&lt;40,Student_Data!H17&lt;40,Student_Data!I17&lt;40,Student_Data!J17&lt;40,Student_Data!K17&lt;40),"Fail","Pass")</f>
        <v>Pass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 t="str">
        <f>IF(Student_Data!M18&gt;85,"Topper","Average")</f>
        <v>Average</v>
      </c>
      <c r="B18" s="9" t="str">
        <f>IF(Student_Data!N18&lt;70,"Low","OK")</f>
        <v>Low</v>
      </c>
      <c r="C18" s="9" t="str">
        <f>IF(OR(Student_Data!G18&lt;40,Student_Data!H18&lt;40,Student_Data!I18&lt;40,Student_Data!J18&lt;40,Student_Data!K18&lt;40),"Fail","Pass")</f>
        <v>Pass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 t="str">
        <f>IF(Student_Data!M19&gt;85,"Topper","Average")</f>
        <v>Average</v>
      </c>
      <c r="B19" s="9" t="str">
        <f>IF(Student_Data!N19&lt;70,"Low","OK")</f>
        <v>OK</v>
      </c>
      <c r="C19" s="9" t="str">
        <f>IF(OR(Student_Data!G19&lt;40,Student_Data!H19&lt;40,Student_Data!I19&lt;40,Student_Data!J19&lt;40,Student_Data!K19&lt;40),"Fail","Pass")</f>
        <v>Pass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 t="str">
        <f>IF(Student_Data!M20&gt;85,"Topper","Average")</f>
        <v>Average</v>
      </c>
      <c r="B20" s="9" t="str">
        <f>IF(Student_Data!N20&lt;70,"Low","OK")</f>
        <v>Low</v>
      </c>
      <c r="C20" s="9" t="str">
        <f>IF(OR(Student_Data!G20&lt;40,Student_Data!H20&lt;40,Student_Data!I20&lt;40,Student_Data!J20&lt;40,Student_Data!K20&lt;40),"Fail","Pass")</f>
        <v>Pass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 t="str">
        <f>IF(Student_Data!M21&gt;85,"Topper","Average")</f>
        <v>Average</v>
      </c>
      <c r="B21" s="9" t="str">
        <f>IF(Student_Data!N21&lt;70,"Low","OK")</f>
        <v>OK</v>
      </c>
      <c r="C21" s="9" t="str">
        <f>IF(OR(Student_Data!G21&lt;40,Student_Data!H21&lt;40,Student_Data!I21&lt;40,Student_Data!J21&lt;40,Student_Data!K21&lt;40),"Fail","Pass")</f>
        <v>Pass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 t="str">
        <f>IF(Student_Data!M22&gt;85,"Topper","Average")</f>
        <v>Average</v>
      </c>
      <c r="B22" s="9" t="str">
        <f>IF(Student_Data!N22&lt;70,"Low","OK")</f>
        <v>OK</v>
      </c>
      <c r="C22" s="9" t="str">
        <f>IF(OR(Student_Data!G22&lt;40,Student_Data!H22&lt;40,Student_Data!I22&lt;40,Student_Data!J22&lt;40,Student_Data!K22&lt;40),"Fail","Pass")</f>
        <v>Pass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 t="str">
        <f>IF(Student_Data!M23&gt;85,"Topper","Average")</f>
        <v>Average</v>
      </c>
      <c r="B23" s="9" t="str">
        <f>IF(Student_Data!N23&lt;70,"Low","OK")</f>
        <v>Low</v>
      </c>
      <c r="C23" s="9" t="str">
        <f>IF(OR(Student_Data!G23&lt;40,Student_Data!H23&lt;40,Student_Data!I23&lt;40,Student_Data!J23&lt;40,Student_Data!K23&lt;40),"Fail","Pass")</f>
        <v>Pass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 t="str">
        <f>IF(Student_Data!M24&gt;85,"Topper","Average")</f>
        <v>Average</v>
      </c>
      <c r="B24" s="9" t="str">
        <f>IF(Student_Data!N24&lt;70,"Low","OK")</f>
        <v>OK</v>
      </c>
      <c r="C24" s="9" t="str">
        <f>IF(OR(Student_Data!G24&lt;40,Student_Data!H24&lt;40,Student_Data!I24&lt;40,Student_Data!J24&lt;40,Student_Data!K24&lt;40),"Fail","Pass")</f>
        <v>Pass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 t="str">
        <f>IF(Student_Data!M25&gt;85,"Topper","Average")</f>
        <v>Average</v>
      </c>
      <c r="B25" s="9" t="str">
        <f>IF(Student_Data!N25&lt;70,"Low","OK")</f>
        <v>Low</v>
      </c>
      <c r="C25" s="9" t="str">
        <f>IF(OR(Student_Data!G25&lt;40,Student_Data!H25&lt;40,Student_Data!I25&lt;40,Student_Data!J25&lt;40,Student_Data!K25&lt;40),"Fail","Pass")</f>
        <v>Pass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 t="str">
        <f>IF(Student_Data!M26&gt;85,"Topper","Average")</f>
        <v>Average</v>
      </c>
      <c r="B26" s="9" t="str">
        <f>IF(Student_Data!N26&lt;70,"Low","OK")</f>
        <v>OK</v>
      </c>
      <c r="C26" s="9" t="str">
        <f>IF(OR(Student_Data!G26&lt;40,Student_Data!H26&lt;40,Student_Data!I26&lt;40,Student_Data!J26&lt;40,Student_Data!K26&lt;40),"Fail","Pass")</f>
        <v>Pass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 t="str">
        <f>IF(Student_Data!M27&gt;85,"Topper","Average")</f>
        <v>Average</v>
      </c>
      <c r="B27" s="9" t="str">
        <f>IF(Student_Data!N27&lt;70,"Low","OK")</f>
        <v>OK</v>
      </c>
      <c r="C27" s="9" t="str">
        <f>IF(OR(Student_Data!G27&lt;40,Student_Data!H27&lt;40,Student_Data!I27&lt;40,Student_Data!J27&lt;40,Student_Data!K27&lt;40),"Fail","Pass")</f>
        <v>Pass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 t="str">
        <f>IF(Student_Data!M28&gt;85,"Topper","Average")</f>
        <v>Average</v>
      </c>
      <c r="B28" s="9" t="str">
        <f>IF(Student_Data!N28&lt;70,"Low","OK")</f>
        <v>OK</v>
      </c>
      <c r="C28" s="9" t="str">
        <f>IF(OR(Student_Data!G28&lt;40,Student_Data!H28&lt;40,Student_Data!I28&lt;40,Student_Data!J28&lt;40,Student_Data!K28&lt;40),"Fail","Pass")</f>
        <v>Pass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 t="str">
        <f>IF(Student_Data!M29&gt;85,"Topper","Average")</f>
        <v>Average</v>
      </c>
      <c r="B29" s="9" t="str">
        <f>IF(Student_Data!N29&lt;70,"Low","OK")</f>
        <v>OK</v>
      </c>
      <c r="C29" s="9" t="str">
        <f>IF(OR(Student_Data!G29&lt;40,Student_Data!H29&lt;40,Student_Data!I29&lt;40,Student_Data!J29&lt;40,Student_Data!K29&lt;40),"Fail","Pass")</f>
        <v>Pass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 t="str">
        <f>IF(Student_Data!M30&gt;85,"Topper","Average")</f>
        <v>Average</v>
      </c>
      <c r="B30" s="9" t="str">
        <f>IF(Student_Data!N30&lt;70,"Low","OK")</f>
        <v>OK</v>
      </c>
      <c r="C30" s="9" t="str">
        <f>IF(OR(Student_Data!G30&lt;40,Student_Data!H30&lt;40,Student_Data!I30&lt;40,Student_Data!J30&lt;40,Student_Data!K30&lt;40),"Fail","Pass")</f>
        <v>Pass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 t="str">
        <f>IF(Student_Data!M31&gt;85,"Topper","Average")</f>
        <v>Average</v>
      </c>
      <c r="B31" s="9" t="str">
        <f>IF(Student_Data!N31&lt;70,"Low","OK")</f>
        <v>OK</v>
      </c>
      <c r="C31" s="9" t="str">
        <f>IF(OR(Student_Data!G31&lt;40,Student_Data!H31&lt;40,Student_Data!I31&lt;40,Student_Data!J31&lt;40,Student_Data!K31&lt;40),"Fail","Pass")</f>
        <v>Pass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 t="str">
        <f>IF(Student_Data!M32&gt;85,"Topper","Average")</f>
        <v>Average</v>
      </c>
      <c r="B32" s="9" t="str">
        <f>IF(Student_Data!N32&lt;70,"Low","OK")</f>
        <v>OK</v>
      </c>
      <c r="C32" s="9" t="str">
        <f>IF(OR(Student_Data!G32&lt;40,Student_Data!H32&lt;40,Student_Data!I32&lt;40,Student_Data!J32&lt;40,Student_Data!K32&lt;40),"Fail","Pass")</f>
        <v>Pass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 t="str">
        <f>IF(Student_Data!M33&gt;85,"Topper","Average")</f>
        <v>Average</v>
      </c>
      <c r="B33" s="9" t="str">
        <f>IF(Student_Data!N33&lt;70,"Low","OK")</f>
        <v>OK</v>
      </c>
      <c r="C33" s="9" t="str">
        <f>IF(OR(Student_Data!G33&lt;40,Student_Data!H33&lt;40,Student_Data!I33&lt;40,Student_Data!J33&lt;40,Student_Data!K33&lt;40),"Fail","Pass")</f>
        <v>Pass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 t="str">
        <f>IF(Student_Data!M34&gt;85,"Topper","Average")</f>
        <v>Average</v>
      </c>
      <c r="B34" s="9" t="str">
        <f>IF(Student_Data!N34&lt;70,"Low","OK")</f>
        <v>OK</v>
      </c>
      <c r="C34" s="9" t="str">
        <f>IF(OR(Student_Data!G34&lt;40,Student_Data!H34&lt;40,Student_Data!I34&lt;40,Student_Data!J34&lt;40,Student_Data!K34&lt;40),"Fail","Pass")</f>
        <v>Pass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 t="str">
        <f>IF(Student_Data!M35&gt;85,"Topper","Average")</f>
        <v>Average</v>
      </c>
      <c r="B35" s="9" t="str">
        <f>IF(Student_Data!N35&lt;70,"Low","OK")</f>
        <v>OK</v>
      </c>
      <c r="C35" s="9" t="str">
        <f>IF(OR(Student_Data!G35&lt;40,Student_Data!H35&lt;40,Student_Data!I35&lt;40,Student_Data!J35&lt;40,Student_Data!K35&lt;40),"Fail","Pass")</f>
        <v>Pass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 t="str">
        <f>IF(Student_Data!M36&gt;85,"Topper","Average")</f>
        <v>Average</v>
      </c>
      <c r="B36" s="9" t="str">
        <f>IF(Student_Data!N36&lt;70,"Low","OK")</f>
        <v>Low</v>
      </c>
      <c r="C36" s="9" t="str">
        <f>IF(OR(Student_Data!G36&lt;40,Student_Data!H36&lt;40,Student_Data!I36&lt;40,Student_Data!J36&lt;40,Student_Data!K36&lt;40),"Fail","Pass")</f>
        <v>Pass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 t="str">
        <f>IF(Student_Data!M37&gt;85,"Topper","Average")</f>
        <v>Average</v>
      </c>
      <c r="B37" s="9" t="str">
        <f>IF(Student_Data!N37&lt;70,"Low","OK")</f>
        <v>OK</v>
      </c>
      <c r="C37" s="9" t="str">
        <f>IF(OR(Student_Data!G37&lt;40,Student_Data!H37&lt;40,Student_Data!I37&lt;40,Student_Data!J37&lt;40,Student_Data!K37&lt;40),"Fail","Pass")</f>
        <v>Pass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 t="str">
        <f>IF(Student_Data!M38&gt;85,"Topper","Average")</f>
        <v>Average</v>
      </c>
      <c r="B38" s="9" t="str">
        <f>IF(Student_Data!N38&lt;70,"Low","OK")</f>
        <v>OK</v>
      </c>
      <c r="C38" s="9" t="str">
        <f>IF(OR(Student_Data!G38&lt;40,Student_Data!H38&lt;40,Student_Data!I38&lt;40,Student_Data!J38&lt;40,Student_Data!K38&lt;40),"Fail","Pass")</f>
        <v>Pass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 t="str">
        <f>IF(Student_Data!M39&gt;85,"Topper","Average")</f>
        <v>Average</v>
      </c>
      <c r="B39" s="9" t="str">
        <f>IF(Student_Data!N39&lt;70,"Low","OK")</f>
        <v>OK</v>
      </c>
      <c r="C39" s="9" t="str">
        <f>IF(OR(Student_Data!G39&lt;40,Student_Data!H39&lt;40,Student_Data!I39&lt;40,Student_Data!J39&lt;40,Student_Data!K39&lt;40),"Fail","Pass")</f>
        <v>Pass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 t="str">
        <f>IF(Student_Data!M40&gt;85,"Topper","Average")</f>
        <v>Average</v>
      </c>
      <c r="B40" s="9" t="str">
        <f>IF(Student_Data!N40&lt;70,"Low","OK")</f>
        <v>OK</v>
      </c>
      <c r="C40" s="9" t="str">
        <f>IF(OR(Student_Data!G40&lt;40,Student_Data!H40&lt;40,Student_Data!I40&lt;40,Student_Data!J40&lt;40,Student_Data!K40&lt;40),"Fail","Pass")</f>
        <v>Pass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 t="str">
        <f>IF(Student_Data!M41&gt;85,"Topper","Average")</f>
        <v>Average</v>
      </c>
      <c r="B41" s="9" t="str">
        <f>IF(Student_Data!N41&lt;70,"Low","OK")</f>
        <v>OK</v>
      </c>
      <c r="C41" s="9" t="str">
        <f>IF(OR(Student_Data!G41&lt;40,Student_Data!H41&lt;40,Student_Data!I41&lt;40,Student_Data!J41&lt;40,Student_Data!K41&lt;40),"Fail","Pass")</f>
        <v>Pass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 t="str">
        <f>IF(Student_Data!M42&gt;85,"Topper","Average")</f>
        <v>Average</v>
      </c>
      <c r="B42" s="9" t="str">
        <f>IF(Student_Data!N42&lt;70,"Low","OK")</f>
        <v>OK</v>
      </c>
      <c r="C42" s="9" t="str">
        <f>IF(OR(Student_Data!G42&lt;40,Student_Data!H42&lt;40,Student_Data!I42&lt;40,Student_Data!J42&lt;40,Student_Data!K42&lt;40),"Fail","Pass")</f>
        <v>Pass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 t="str">
        <f>IF(Student_Data!M43&gt;85,"Topper","Average")</f>
        <v>Average</v>
      </c>
      <c r="B43" s="9" t="str">
        <f>IF(Student_Data!N43&lt;70,"Low","OK")</f>
        <v>Low</v>
      </c>
      <c r="C43" s="9" t="str">
        <f>IF(OR(Student_Data!G43&lt;40,Student_Data!H43&lt;40,Student_Data!I43&lt;40,Student_Data!J43&lt;40,Student_Data!K43&lt;40),"Fail","Pass")</f>
        <v>Pass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 t="str">
        <f>IF(Student_Data!M44&gt;85,"Topper","Average")</f>
        <v>Average</v>
      </c>
      <c r="B44" s="9" t="str">
        <f>IF(Student_Data!N44&lt;70,"Low","OK")</f>
        <v>Low</v>
      </c>
      <c r="C44" s="9" t="str">
        <f>IF(OR(Student_Data!G44&lt;40,Student_Data!H44&lt;40,Student_Data!I44&lt;40,Student_Data!J44&lt;40,Student_Data!K44&lt;40),"Fail","Pass")</f>
        <v>Pass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 t="str">
        <f>IF(Student_Data!M45&gt;85,"Topper","Average")</f>
        <v>Average</v>
      </c>
      <c r="B45" s="9" t="str">
        <f>IF(Student_Data!N45&lt;70,"Low","OK")</f>
        <v>OK</v>
      </c>
      <c r="C45" s="9" t="str">
        <f>IF(OR(Student_Data!G45&lt;40,Student_Data!H45&lt;40,Student_Data!I45&lt;40,Student_Data!J45&lt;40,Student_Data!K45&lt;40),"Fail","Pass")</f>
        <v>Pass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 t="str">
        <f>IF(Student_Data!M46&gt;85,"Topper","Average")</f>
        <v>Average</v>
      </c>
      <c r="B46" s="9" t="str">
        <f>IF(Student_Data!N46&lt;70,"Low","OK")</f>
        <v>OK</v>
      </c>
      <c r="C46" s="9" t="str">
        <f>IF(OR(Student_Data!G46&lt;40,Student_Data!H46&lt;40,Student_Data!I46&lt;40,Student_Data!J46&lt;40,Student_Data!K46&lt;40),"Fail","Pass")</f>
        <v>Pass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 t="str">
        <f>IF(Student_Data!M47&gt;85,"Topper","Average")</f>
        <v>Average</v>
      </c>
      <c r="B47" s="9" t="str">
        <f>IF(Student_Data!N47&lt;70,"Low","OK")</f>
        <v>OK</v>
      </c>
      <c r="C47" s="9" t="str">
        <f>IF(OR(Student_Data!G47&lt;40,Student_Data!H47&lt;40,Student_Data!I47&lt;40,Student_Data!J47&lt;40,Student_Data!K47&lt;40),"Fail","Pass")</f>
        <v>Pass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 t="str">
        <f>IF(Student_Data!M48&gt;85,"Topper","Average")</f>
        <v>Average</v>
      </c>
      <c r="B48" s="9" t="str">
        <f>IF(Student_Data!N48&lt;70,"Low","OK")</f>
        <v>OK</v>
      </c>
      <c r="C48" s="9" t="str">
        <f>IF(OR(Student_Data!G48&lt;40,Student_Data!H48&lt;40,Student_Data!I48&lt;40,Student_Data!J48&lt;40,Student_Data!K48&lt;40),"Fail","Pass")</f>
        <v>Pass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 t="str">
        <f>IF(Student_Data!M49&gt;85,"Topper","Average")</f>
        <v>Average</v>
      </c>
      <c r="B49" s="9" t="str">
        <f>IF(Student_Data!N49&lt;70,"Low","OK")</f>
        <v>Low</v>
      </c>
      <c r="C49" s="9" t="str">
        <f>IF(OR(Student_Data!G49&lt;40,Student_Data!H49&lt;40,Student_Data!I49&lt;40,Student_Data!J49&lt;40,Student_Data!K49&lt;40),"Fail","Pass")</f>
        <v>Pass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 t="str">
        <f>IF(Student_Data!M50&gt;85,"Topper","Average")</f>
        <v>Average</v>
      </c>
      <c r="B50" s="9" t="str">
        <f>IF(Student_Data!N50&lt;70,"Low","OK")</f>
        <v>OK</v>
      </c>
      <c r="C50" s="9" t="str">
        <f>IF(OR(Student_Data!G50&lt;40,Student_Data!H50&lt;40,Student_Data!I50&lt;40,Student_Data!J50&lt;40,Student_Data!K50&lt;40),"Fail","Pass")</f>
        <v>Pass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 t="str">
        <f>IF(Student_Data!M51&gt;85,"Topper","Average")</f>
        <v>Average</v>
      </c>
      <c r="B51" s="9" t="str">
        <f>IF(Student_Data!N51&lt;70,"Low","OK")</f>
        <v>OK</v>
      </c>
      <c r="C51" s="9" t="str">
        <f>IF(OR(Student_Data!G51&lt;40,Student_Data!H51&lt;40,Student_Data!I51&lt;40,Student_Data!J51&lt;40,Student_Data!K51&lt;40),"Fail","Pass")</f>
        <v>Pass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 t="str">
        <f>IF(Student_Data!M52&gt;85,"Topper","Average")</f>
        <v>Average</v>
      </c>
      <c r="B52" s="9" t="str">
        <f>IF(Student_Data!N52&lt;70,"Low","OK")</f>
        <v>OK</v>
      </c>
      <c r="C52" s="9" t="str">
        <f>IF(OR(Student_Data!G52&lt;40,Student_Data!H52&lt;40,Student_Data!I52&lt;40,Student_Data!J52&lt;40,Student_Data!K52&lt;40),"Fail","Pass")</f>
        <v>Pass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 t="str">
        <f>IF(Student_Data!M53&gt;85,"Topper","Average")</f>
        <v>Average</v>
      </c>
      <c r="B53" s="9" t="str">
        <f>IF(Student_Data!N53&lt;70,"Low","OK")</f>
        <v>OK</v>
      </c>
      <c r="C53" s="9" t="str">
        <f>IF(OR(Student_Data!G53&lt;40,Student_Data!H53&lt;40,Student_Data!I53&lt;40,Student_Data!J53&lt;40,Student_Data!K53&lt;40),"Fail","Pass")</f>
        <v>Pass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 t="str">
        <f>IF(Student_Data!M54&gt;85,"Topper","Average")</f>
        <v>Average</v>
      </c>
      <c r="B54" s="9" t="str">
        <f>IF(Student_Data!N54&lt;70,"Low","OK")</f>
        <v>Low</v>
      </c>
      <c r="C54" s="9" t="str">
        <f>IF(OR(Student_Data!G54&lt;40,Student_Data!H54&lt;40,Student_Data!I54&lt;40,Student_Data!J54&lt;40,Student_Data!K54&lt;40),"Fail","Pass")</f>
        <v>Pass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 t="str">
        <f>IF(Student_Data!M55&gt;85,"Topper","Average")</f>
        <v>Average</v>
      </c>
      <c r="B55" s="9" t="str">
        <f>IF(Student_Data!N55&lt;70,"Low","OK")</f>
        <v>OK</v>
      </c>
      <c r="C55" s="9" t="str">
        <f>IF(OR(Student_Data!G55&lt;40,Student_Data!H55&lt;40,Student_Data!I55&lt;40,Student_Data!J55&lt;40,Student_Data!K55&lt;40),"Fail","Pass")</f>
        <v>Pass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 t="str">
        <f>IF(Student_Data!M56&gt;85,"Topper","Average")</f>
        <v>Average</v>
      </c>
      <c r="B56" s="9" t="str">
        <f>IF(Student_Data!N56&lt;70,"Low","OK")</f>
        <v>Low</v>
      </c>
      <c r="C56" s="9" t="str">
        <f>IF(OR(Student_Data!G56&lt;40,Student_Data!H56&lt;40,Student_Data!I56&lt;40,Student_Data!J56&lt;40,Student_Data!K56&lt;40),"Fail","Pass")</f>
        <v>Pass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 t="str">
        <f>IF(Student_Data!M57&gt;85,"Topper","Average")</f>
        <v>Average</v>
      </c>
      <c r="B57" s="9" t="str">
        <f>IF(Student_Data!N57&lt;70,"Low","OK")</f>
        <v>OK</v>
      </c>
      <c r="C57" s="9" t="str">
        <f>IF(OR(Student_Data!G57&lt;40,Student_Data!H57&lt;40,Student_Data!I57&lt;40,Student_Data!J57&lt;40,Student_Data!K57&lt;40),"Fail","Pass")</f>
        <v>Pass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 t="str">
        <f>IF(Student_Data!M58&gt;85,"Topper","Average")</f>
        <v>Average</v>
      </c>
      <c r="B58" s="9" t="str">
        <f>IF(Student_Data!N58&lt;70,"Low","OK")</f>
        <v>Low</v>
      </c>
      <c r="C58" s="9" t="str">
        <f>IF(OR(Student_Data!G58&lt;40,Student_Data!H58&lt;40,Student_Data!I58&lt;40,Student_Data!J58&lt;40,Student_Data!K58&lt;40),"Fail","Pass")</f>
        <v>Pass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 t="str">
        <f>IF(Student_Data!M59&gt;85,"Topper","Average")</f>
        <v>Average</v>
      </c>
      <c r="B59" s="9" t="str">
        <f>IF(Student_Data!N59&lt;70,"Low","OK")</f>
        <v>OK</v>
      </c>
      <c r="C59" s="9" t="str">
        <f>IF(OR(Student_Data!G59&lt;40,Student_Data!H59&lt;40,Student_Data!I59&lt;40,Student_Data!J59&lt;40,Student_Data!K59&lt;40),"Fail","Pass")</f>
        <v>Pass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 t="str">
        <f>IF(Student_Data!M60&gt;85,"Topper","Average")</f>
        <v>Average</v>
      </c>
      <c r="B60" s="9" t="str">
        <f>IF(Student_Data!N60&lt;70,"Low","OK")</f>
        <v>OK</v>
      </c>
      <c r="C60" s="9" t="str">
        <f>IF(OR(Student_Data!G60&lt;40,Student_Data!H60&lt;40,Student_Data!I60&lt;40,Student_Data!J60&lt;40,Student_Data!K60&lt;40),"Fail","Pass")</f>
        <v>Pass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 t="str">
        <f>IF(Student_Data!M61&gt;85,"Topper","Average")</f>
        <v>Average</v>
      </c>
      <c r="B61" s="9" t="str">
        <f>IF(Student_Data!N61&lt;70,"Low","OK")</f>
        <v>OK</v>
      </c>
      <c r="C61" s="9" t="str">
        <f>IF(OR(Student_Data!G61&lt;40,Student_Data!H61&lt;40,Student_Data!I61&lt;40,Student_Data!J61&lt;40,Student_Data!K61&lt;40),"Fail","Pass")</f>
        <v>Pass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 t="str">
        <f>IF(Student_Data!M62&gt;85,"Topper","Average")</f>
        <v>Average</v>
      </c>
      <c r="B62" s="9" t="str">
        <f>IF(Student_Data!N62&lt;70,"Low","OK")</f>
        <v>OK</v>
      </c>
      <c r="C62" s="9" t="str">
        <f>IF(OR(Student_Data!G62&lt;40,Student_Data!H62&lt;40,Student_Data!I62&lt;40,Student_Data!J62&lt;40,Student_Data!K62&lt;40),"Fail","Pass")</f>
        <v>Pass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 t="str">
        <f>IF(Student_Data!M63&gt;85,"Topper","Average")</f>
        <v>Topper</v>
      </c>
      <c r="B63" s="9" t="str">
        <f>IF(Student_Data!N63&lt;70,"Low","OK")</f>
        <v>OK</v>
      </c>
      <c r="C63" s="9" t="str">
        <f>IF(OR(Student_Data!G63&lt;40,Student_Data!H63&lt;40,Student_Data!I63&lt;40,Student_Data!J63&lt;40,Student_Data!K63&lt;40),"Fail","Pass")</f>
        <v>Pass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 t="str">
        <f>IF(Student_Data!M64&gt;85,"Topper","Average")</f>
        <v>Average</v>
      </c>
      <c r="B64" s="9" t="str">
        <f>IF(Student_Data!N64&lt;70,"Low","OK")</f>
        <v>Low</v>
      </c>
      <c r="C64" s="9" t="str">
        <f>IF(OR(Student_Data!G64&lt;40,Student_Data!H64&lt;40,Student_Data!I64&lt;40,Student_Data!J64&lt;40,Student_Data!K64&lt;40),"Fail","Pass")</f>
        <v>Pass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 t="str">
        <f>IF(Student_Data!M65&gt;85,"Topper","Average")</f>
        <v>Average</v>
      </c>
      <c r="B65" s="9" t="str">
        <f>IF(Student_Data!N65&lt;70,"Low","OK")</f>
        <v>OK</v>
      </c>
      <c r="C65" s="9" t="str">
        <f>IF(OR(Student_Data!G65&lt;40,Student_Data!H65&lt;40,Student_Data!I65&lt;40,Student_Data!J65&lt;40,Student_Data!K65&lt;40),"Fail","Pass")</f>
        <v>Pass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 t="str">
        <f>IF(Student_Data!M66&gt;85,"Topper","Average")</f>
        <v>Average</v>
      </c>
      <c r="B66" s="9" t="str">
        <f>IF(Student_Data!N66&lt;70,"Low","OK")</f>
        <v>Low</v>
      </c>
      <c r="C66" s="9" t="str">
        <f>IF(OR(Student_Data!G66&lt;40,Student_Data!H66&lt;40,Student_Data!I66&lt;40,Student_Data!J66&lt;40,Student_Data!K66&lt;40),"Fail","Pass")</f>
        <v>Pass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 t="str">
        <f>IF(Student_Data!M67&gt;85,"Topper","Average")</f>
        <v>Average</v>
      </c>
      <c r="B67" s="9" t="str">
        <f>IF(Student_Data!N67&lt;70,"Low","OK")</f>
        <v>Low</v>
      </c>
      <c r="C67" s="9" t="str">
        <f>IF(OR(Student_Data!G67&lt;40,Student_Data!H67&lt;40,Student_Data!I67&lt;40,Student_Data!J67&lt;40,Student_Data!K67&lt;40),"Fail","Pass")</f>
        <v>Pass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 t="str">
        <f>IF(Student_Data!M68&gt;85,"Topper","Average")</f>
        <v>Average</v>
      </c>
      <c r="B68" s="9" t="str">
        <f>IF(Student_Data!N68&lt;70,"Low","OK")</f>
        <v>Low</v>
      </c>
      <c r="C68" s="9" t="str">
        <f>IF(OR(Student_Data!G68&lt;40,Student_Data!H68&lt;40,Student_Data!I68&lt;40,Student_Data!J68&lt;40,Student_Data!K68&lt;40),"Fail","Pass")</f>
        <v>Pass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 t="str">
        <f>IF(Student_Data!M69&gt;85,"Topper","Average")</f>
        <v>Average</v>
      </c>
      <c r="B69" s="9" t="str">
        <f>IF(Student_Data!N69&lt;70,"Low","OK")</f>
        <v>OK</v>
      </c>
      <c r="C69" s="9" t="str">
        <f>IF(OR(Student_Data!G69&lt;40,Student_Data!H69&lt;40,Student_Data!I69&lt;40,Student_Data!J69&lt;40,Student_Data!K69&lt;40),"Fail","Pass")</f>
        <v>Pass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 t="str">
        <f>IF(Student_Data!M70&gt;85,"Topper","Average")</f>
        <v>Average</v>
      </c>
      <c r="B70" s="9" t="str">
        <f>IF(Student_Data!N70&lt;70,"Low","OK")</f>
        <v>OK</v>
      </c>
      <c r="C70" s="9" t="str">
        <f>IF(OR(Student_Data!G70&lt;40,Student_Data!H70&lt;40,Student_Data!I70&lt;40,Student_Data!J70&lt;40,Student_Data!K70&lt;40),"Fail","Pass")</f>
        <v>Pass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 t="str">
        <f>IF(Student_Data!M71&gt;85,"Topper","Average")</f>
        <v>Average</v>
      </c>
      <c r="B71" s="9" t="str">
        <f>IF(Student_Data!N71&lt;70,"Low","OK")</f>
        <v>OK</v>
      </c>
      <c r="C71" s="9" t="str">
        <f>IF(OR(Student_Data!G71&lt;40,Student_Data!H71&lt;40,Student_Data!I71&lt;40,Student_Data!J71&lt;40,Student_Data!K71&lt;40),"Fail","Pass")</f>
        <v>Pass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 t="str">
        <f>IF(Student_Data!M72&gt;85,"Topper","Average")</f>
        <v>Average</v>
      </c>
      <c r="B72" s="9" t="str">
        <f>IF(Student_Data!N72&lt;70,"Low","OK")</f>
        <v>OK</v>
      </c>
      <c r="C72" s="9" t="str">
        <f>IF(OR(Student_Data!G72&lt;40,Student_Data!H72&lt;40,Student_Data!I72&lt;40,Student_Data!J72&lt;40,Student_Data!K72&lt;40),"Fail","Pass")</f>
        <v>Pass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 t="str">
        <f>IF(Student_Data!M73&gt;85,"Topper","Average")</f>
        <v>Average</v>
      </c>
      <c r="B73" s="9" t="str">
        <f>IF(Student_Data!N73&lt;70,"Low","OK")</f>
        <v>OK</v>
      </c>
      <c r="C73" s="9" t="str">
        <f>IF(OR(Student_Data!G73&lt;40,Student_Data!H73&lt;40,Student_Data!I73&lt;40,Student_Data!J73&lt;40,Student_Data!K73&lt;40),"Fail","Pass")</f>
        <v>Pass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 t="str">
        <f>IF(Student_Data!M74&gt;85,"Topper","Average")</f>
        <v>Average</v>
      </c>
      <c r="B74" s="9" t="str">
        <f>IF(Student_Data!N74&lt;70,"Low","OK")</f>
        <v>OK</v>
      </c>
      <c r="C74" s="9" t="str">
        <f>IF(OR(Student_Data!G74&lt;40,Student_Data!H74&lt;40,Student_Data!I74&lt;40,Student_Data!J74&lt;40,Student_Data!K74&lt;40),"Fail","Pass")</f>
        <v>Pass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 t="str">
        <f>IF(Student_Data!M75&gt;85,"Topper","Average")</f>
        <v>Average</v>
      </c>
      <c r="B75" s="9" t="str">
        <f>IF(Student_Data!N75&lt;70,"Low","OK")</f>
        <v>Low</v>
      </c>
      <c r="C75" s="9" t="str">
        <f>IF(OR(Student_Data!G75&lt;40,Student_Data!H75&lt;40,Student_Data!I75&lt;40,Student_Data!J75&lt;40,Student_Data!K75&lt;40),"Fail","Pass")</f>
        <v>Pass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 t="str">
        <f>IF(Student_Data!M76&gt;85,"Topper","Average")</f>
        <v>Average</v>
      </c>
      <c r="B76" s="9" t="str">
        <f>IF(Student_Data!N76&lt;70,"Low","OK")</f>
        <v>OK</v>
      </c>
      <c r="C76" s="9" t="str">
        <f>IF(OR(Student_Data!G76&lt;40,Student_Data!H76&lt;40,Student_Data!I76&lt;40,Student_Data!J76&lt;40,Student_Data!K76&lt;40),"Fail","Pass")</f>
        <v>Pass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 t="str">
        <f>IF(Student_Data!M77&gt;85,"Topper","Average")</f>
        <v>Average</v>
      </c>
      <c r="B77" s="9" t="str">
        <f>IF(Student_Data!N77&lt;70,"Low","OK")</f>
        <v>Low</v>
      </c>
      <c r="C77" s="9" t="str">
        <f>IF(OR(Student_Data!G77&lt;40,Student_Data!H77&lt;40,Student_Data!I77&lt;40,Student_Data!J77&lt;40,Student_Data!K77&lt;40),"Fail","Pass")</f>
        <v>Pass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 t="str">
        <f>IF(Student_Data!M78&gt;85,"Topper","Average")</f>
        <v>Average</v>
      </c>
      <c r="B78" s="9" t="str">
        <f>IF(Student_Data!N78&lt;70,"Low","OK")</f>
        <v>OK</v>
      </c>
      <c r="C78" s="9" t="str">
        <f>IF(OR(Student_Data!G78&lt;40,Student_Data!H78&lt;40,Student_Data!I78&lt;40,Student_Data!J78&lt;40,Student_Data!K78&lt;40),"Fail","Pass")</f>
        <v>Pass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 t="str">
        <f>IF(Student_Data!M79&gt;85,"Topper","Average")</f>
        <v>Average</v>
      </c>
      <c r="B79" s="9" t="str">
        <f>IF(Student_Data!N79&lt;70,"Low","OK")</f>
        <v>OK</v>
      </c>
      <c r="C79" s="9" t="str">
        <f>IF(OR(Student_Data!G79&lt;40,Student_Data!H79&lt;40,Student_Data!I79&lt;40,Student_Data!J79&lt;40,Student_Data!K79&lt;40),"Fail","Pass")</f>
        <v>Pass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 t="str">
        <f>IF(Student_Data!M80&gt;85,"Topper","Average")</f>
        <v>Average</v>
      </c>
      <c r="B80" s="9" t="str">
        <f>IF(Student_Data!N80&lt;70,"Low","OK")</f>
        <v>OK</v>
      </c>
      <c r="C80" s="9" t="str">
        <f>IF(OR(Student_Data!G80&lt;40,Student_Data!H80&lt;40,Student_Data!I80&lt;40,Student_Data!J80&lt;40,Student_Data!K80&lt;40),"Fail","Pass")</f>
        <v>Pass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 t="str">
        <f>IF(Student_Data!M81&gt;85,"Topper","Average")</f>
        <v>Average</v>
      </c>
      <c r="B81" s="9" t="str">
        <f>IF(Student_Data!N81&lt;70,"Low","OK")</f>
        <v>OK</v>
      </c>
      <c r="C81" s="9" t="str">
        <f>IF(OR(Student_Data!G81&lt;40,Student_Data!H81&lt;40,Student_Data!I81&lt;40,Student_Data!J81&lt;40,Student_Data!K81&lt;40),"Fail","Pass")</f>
        <v>Pass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 t="str">
        <f>IF(Student_Data!M82&gt;85,"Topper","Average")</f>
        <v>Average</v>
      </c>
      <c r="B82" s="9" t="str">
        <f>IF(Student_Data!N82&lt;70,"Low","OK")</f>
        <v>OK</v>
      </c>
      <c r="C82" s="9" t="str">
        <f>IF(OR(Student_Data!G82&lt;40,Student_Data!H82&lt;40,Student_Data!I82&lt;40,Student_Data!J82&lt;40,Student_Data!K82&lt;40),"Fail","Pass")</f>
        <v>Pass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 t="str">
        <f>IF(Student_Data!M83&gt;85,"Topper","Average")</f>
        <v>Average</v>
      </c>
      <c r="B83" s="9" t="str">
        <f>IF(Student_Data!N83&lt;70,"Low","OK")</f>
        <v>OK</v>
      </c>
      <c r="C83" s="9" t="str">
        <f>IF(OR(Student_Data!G83&lt;40,Student_Data!H83&lt;40,Student_Data!I83&lt;40,Student_Data!J83&lt;40,Student_Data!K83&lt;40),"Fail","Pass")</f>
        <v>Pass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 t="str">
        <f>IF(Student_Data!M84&gt;85,"Topper","Average")</f>
        <v>Average</v>
      </c>
      <c r="B84" s="9" t="str">
        <f>IF(Student_Data!N84&lt;70,"Low","OK")</f>
        <v>OK</v>
      </c>
      <c r="C84" s="9" t="str">
        <f>IF(OR(Student_Data!G84&lt;40,Student_Data!H84&lt;40,Student_Data!I84&lt;40,Student_Data!J84&lt;40,Student_Data!K84&lt;40),"Fail","Pass")</f>
        <v>Pass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 t="str">
        <f>IF(Student_Data!M85&gt;85,"Topper","Average")</f>
        <v>Average</v>
      </c>
      <c r="B85" s="9" t="str">
        <f>IF(Student_Data!N85&lt;70,"Low","OK")</f>
        <v>OK</v>
      </c>
      <c r="C85" s="9" t="str">
        <f>IF(OR(Student_Data!G85&lt;40,Student_Data!H85&lt;40,Student_Data!I85&lt;40,Student_Data!J85&lt;40,Student_Data!K85&lt;40),"Fail","Pass")</f>
        <v>Pass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 t="str">
        <f>IF(Student_Data!M86&gt;85,"Topper","Average")</f>
        <v>Average</v>
      </c>
      <c r="B86" s="9" t="str">
        <f>IF(Student_Data!N86&lt;70,"Low","OK")</f>
        <v>OK</v>
      </c>
      <c r="C86" s="9" t="str">
        <f>IF(OR(Student_Data!G86&lt;40,Student_Data!H86&lt;40,Student_Data!I86&lt;40,Student_Data!J86&lt;40,Student_Data!K86&lt;40),"Fail","Pass")</f>
        <v>Pass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 t="str">
        <f>IF(Student_Data!M87&gt;85,"Topper","Average")</f>
        <v>Average</v>
      </c>
      <c r="B87" s="9" t="str">
        <f>IF(Student_Data!N87&lt;70,"Low","OK")</f>
        <v>Low</v>
      </c>
      <c r="C87" s="9" t="str">
        <f>IF(OR(Student_Data!G87&lt;40,Student_Data!H87&lt;40,Student_Data!I87&lt;40,Student_Data!J87&lt;40,Student_Data!K87&lt;40),"Fail","Pass")</f>
        <v>Pass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 t="str">
        <f>IF(Student_Data!M88&gt;85,"Topper","Average")</f>
        <v>Average</v>
      </c>
      <c r="B88" s="9" t="str">
        <f>IF(Student_Data!N88&lt;70,"Low","OK")</f>
        <v>OK</v>
      </c>
      <c r="C88" s="9" t="str">
        <f>IF(OR(Student_Data!G88&lt;40,Student_Data!H88&lt;40,Student_Data!I88&lt;40,Student_Data!J88&lt;40,Student_Data!K88&lt;40),"Fail","Pass")</f>
        <v>Pass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 t="str">
        <f>IF(Student_Data!M89&gt;85,"Topper","Average")</f>
        <v>Average</v>
      </c>
      <c r="B89" s="9" t="str">
        <f>IF(Student_Data!N89&lt;70,"Low","OK")</f>
        <v>Low</v>
      </c>
      <c r="C89" s="9" t="str">
        <f>IF(OR(Student_Data!G89&lt;40,Student_Data!H89&lt;40,Student_Data!I89&lt;40,Student_Data!J89&lt;40,Student_Data!K89&lt;40),"Fail","Pass")</f>
        <v>Pass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 t="str">
        <f>IF(Student_Data!M90&gt;85,"Topper","Average")</f>
        <v>Average</v>
      </c>
      <c r="B90" s="9" t="str">
        <f>IF(Student_Data!N90&lt;70,"Low","OK")</f>
        <v>OK</v>
      </c>
      <c r="C90" s="9" t="str">
        <f>IF(OR(Student_Data!G90&lt;40,Student_Data!H90&lt;40,Student_Data!I90&lt;40,Student_Data!J90&lt;40,Student_Data!K90&lt;40),"Fail","Pass")</f>
        <v>Pass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 t="str">
        <f>IF(Student_Data!M91&gt;85,"Topper","Average")</f>
        <v>Average</v>
      </c>
      <c r="B91" s="9" t="str">
        <f>IF(Student_Data!N91&lt;70,"Low","OK")</f>
        <v>OK</v>
      </c>
      <c r="C91" s="9" t="str">
        <f>IF(OR(Student_Data!G91&lt;40,Student_Data!H91&lt;40,Student_Data!I91&lt;40,Student_Data!J91&lt;40,Student_Data!K91&lt;40),"Fail","Pass")</f>
        <v>Pass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 t="str">
        <f>IF(Student_Data!M92&gt;85,"Topper","Average")</f>
        <v>Average</v>
      </c>
      <c r="B92" s="9" t="str">
        <f>IF(Student_Data!N92&lt;70,"Low","OK")</f>
        <v>OK</v>
      </c>
      <c r="C92" s="9" t="str">
        <f>IF(OR(Student_Data!G92&lt;40,Student_Data!H92&lt;40,Student_Data!I92&lt;40,Student_Data!J92&lt;40,Student_Data!K92&lt;40),"Fail","Pass")</f>
        <v>Pass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 t="str">
        <f>IF(Student_Data!M93&gt;85,"Topper","Average")</f>
        <v>Average</v>
      </c>
      <c r="B93" s="9" t="str">
        <f>IF(Student_Data!N93&lt;70,"Low","OK")</f>
        <v>OK</v>
      </c>
      <c r="C93" s="9" t="str">
        <f>IF(OR(Student_Data!G93&lt;40,Student_Data!H93&lt;40,Student_Data!I93&lt;40,Student_Data!J93&lt;40,Student_Data!K93&lt;40),"Fail","Pass")</f>
        <v>Pass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 t="str">
        <f>IF(Student_Data!M94&gt;85,"Topper","Average")</f>
        <v>Average</v>
      </c>
      <c r="B94" s="9" t="str">
        <f>IF(Student_Data!N94&lt;70,"Low","OK")</f>
        <v>OK</v>
      </c>
      <c r="C94" s="9" t="str">
        <f>IF(OR(Student_Data!G94&lt;40,Student_Data!H94&lt;40,Student_Data!I94&lt;40,Student_Data!J94&lt;40,Student_Data!K94&lt;40),"Fail","Pass")</f>
        <v>Pass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 t="str">
        <f>IF(Student_Data!M95&gt;85,"Topper","Average")</f>
        <v>Average</v>
      </c>
      <c r="B95" s="9" t="str">
        <f>IF(Student_Data!N95&lt;70,"Low","OK")</f>
        <v>OK</v>
      </c>
      <c r="C95" s="9" t="str">
        <f>IF(OR(Student_Data!G95&lt;40,Student_Data!H95&lt;40,Student_Data!I95&lt;40,Student_Data!J95&lt;40,Student_Data!K95&lt;40),"Fail","Pass")</f>
        <v>Pass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 t="str">
        <f>IF(Student_Data!M96&gt;85,"Topper","Average")</f>
        <v>Average</v>
      </c>
      <c r="B96" s="9" t="str">
        <f>IF(Student_Data!N96&lt;70,"Low","OK")</f>
        <v>OK</v>
      </c>
      <c r="C96" s="9" t="str">
        <f>IF(OR(Student_Data!G96&lt;40,Student_Data!H96&lt;40,Student_Data!I96&lt;40,Student_Data!J96&lt;40,Student_Data!K96&lt;40),"Fail","Pass")</f>
        <v>Pass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 t="str">
        <f>IF(Student_Data!M97&gt;85,"Topper","Average")</f>
        <v>Average</v>
      </c>
      <c r="B97" s="9" t="str">
        <f>IF(Student_Data!N97&lt;70,"Low","OK")</f>
        <v>OK</v>
      </c>
      <c r="C97" s="9" t="str">
        <f>IF(OR(Student_Data!G97&lt;40,Student_Data!H97&lt;40,Student_Data!I97&lt;40,Student_Data!J97&lt;40,Student_Data!K97&lt;40),"Fail","Pass")</f>
        <v>Pass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 t="str">
        <f>IF(Student_Data!M98&gt;85,"Topper","Average")</f>
        <v>Average</v>
      </c>
      <c r="B98" s="9" t="str">
        <f>IF(Student_Data!N98&lt;70,"Low","OK")</f>
        <v>Low</v>
      </c>
      <c r="C98" s="9" t="str">
        <f>IF(OR(Student_Data!G98&lt;40,Student_Data!H98&lt;40,Student_Data!I98&lt;40,Student_Data!J98&lt;40,Student_Data!K98&lt;40),"Fail","Pass")</f>
        <v>Pass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 t="str">
        <f>IF(Student_Data!M99&gt;85,"Topper","Average")</f>
        <v>Average</v>
      </c>
      <c r="B99" s="9" t="str">
        <f>IF(Student_Data!N99&lt;70,"Low","OK")</f>
        <v>OK</v>
      </c>
      <c r="C99" s="9" t="str">
        <f>IF(OR(Student_Data!G99&lt;40,Student_Data!H99&lt;40,Student_Data!I99&lt;40,Student_Data!J99&lt;40,Student_Data!K99&lt;40),"Fail","Pass")</f>
        <v>Pass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 t="str">
        <f>IF(Student_Data!M100&gt;85,"Topper","Average")</f>
        <v>Average</v>
      </c>
      <c r="B100" s="9" t="str">
        <f>IF(Student_Data!N100&lt;70,"Low","OK")</f>
        <v>OK</v>
      </c>
      <c r="C100" s="9" t="str">
        <f>IF(OR(Student_Data!G100&lt;40,Student_Data!H100&lt;40,Student_Data!I100&lt;40,Student_Data!J100&lt;40,Student_Data!K100&lt;40),"Fail","Pass")</f>
        <v>Pass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 t="str">
        <f>IF(Student_Data!M101&gt;85,"Topper","Average")</f>
        <v>Average</v>
      </c>
      <c r="B101" s="9" t="str">
        <f>IF(Student_Data!N101&lt;70,"Low","OK")</f>
        <v>OK</v>
      </c>
      <c r="C101" s="9" t="str">
        <f>IF(OR(Student_Data!G101&lt;40,Student_Data!H101&lt;40,Student_Data!I101&lt;40,Student_Data!J101&lt;40,Student_Data!K101&lt;40),"Fail","Pass")</f>
        <v>Pass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 t="str">
        <f>IF(Student_Data!M102&gt;85,"Topper","Average")</f>
        <v>Average</v>
      </c>
      <c r="B102" s="9" t="str">
        <f>IF(Student_Data!N102&lt;70,"Low","OK")</f>
        <v>OK</v>
      </c>
      <c r="C102" s="9" t="str">
        <f>IF(OR(Student_Data!G102&lt;40,Student_Data!H102&lt;40,Student_Data!I102&lt;40,Student_Data!J102&lt;40,Student_Data!K102&lt;40),"Fail","Pass")</f>
        <v>Pass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 t="str">
        <f>IF(Student_Data!M103&gt;85,"Topper","Average")</f>
        <v>Average</v>
      </c>
      <c r="B103" s="9" t="str">
        <f>IF(Student_Data!N103&lt;70,"Low","OK")</f>
        <v>OK</v>
      </c>
      <c r="C103" s="9" t="str">
        <f>IF(OR(Student_Data!G103&lt;40,Student_Data!H103&lt;40,Student_Data!I103&lt;40,Student_Data!J103&lt;40,Student_Data!K103&lt;40),"Fail","Pass")</f>
        <v>Pass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 t="str">
        <f>IF(Student_Data!M104&gt;85,"Topper","Average")</f>
        <v>Average</v>
      </c>
      <c r="B104" s="9" t="str">
        <f>IF(Student_Data!N104&lt;70,"Low","OK")</f>
        <v>OK</v>
      </c>
      <c r="C104" s="9" t="str">
        <f>IF(OR(Student_Data!G104&lt;40,Student_Data!H104&lt;40,Student_Data!I104&lt;40,Student_Data!J104&lt;40,Student_Data!K104&lt;40),"Fail","Pass")</f>
        <v>Pass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 t="str">
        <f>IF(Student_Data!M105&gt;85,"Topper","Average")</f>
        <v>Average</v>
      </c>
      <c r="B105" s="9" t="str">
        <f>IF(Student_Data!N105&lt;70,"Low","OK")</f>
        <v>Low</v>
      </c>
      <c r="C105" s="9" t="str">
        <f>IF(OR(Student_Data!G105&lt;40,Student_Data!H105&lt;40,Student_Data!I105&lt;40,Student_Data!J105&lt;40,Student_Data!K105&lt;40),"Fail","Pass")</f>
        <v>Pass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 t="str">
        <f>IF(Student_Data!M106&gt;85,"Topper","Average")</f>
        <v>Average</v>
      </c>
      <c r="B106" s="9" t="str">
        <f>IF(Student_Data!N106&lt;70,"Low","OK")</f>
        <v>OK</v>
      </c>
      <c r="C106" s="9" t="str">
        <f>IF(OR(Student_Data!G106&lt;40,Student_Data!H106&lt;40,Student_Data!I106&lt;40,Student_Data!J106&lt;40,Student_Data!K106&lt;40),"Fail","Pass")</f>
        <v>Pass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 t="str">
        <f>IF(Student_Data!M107&gt;85,"Topper","Average")</f>
        <v>Average</v>
      </c>
      <c r="B107" s="9" t="str">
        <f>IF(Student_Data!N107&lt;70,"Low","OK")</f>
        <v>OK</v>
      </c>
      <c r="C107" s="9" t="str">
        <f>IF(OR(Student_Data!G107&lt;40,Student_Data!H107&lt;40,Student_Data!I107&lt;40,Student_Data!J107&lt;40,Student_Data!K107&lt;40),"Fail","Pass")</f>
        <v>Pass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 t="str">
        <f>IF(Student_Data!M108&gt;85,"Topper","Average")</f>
        <v>Average</v>
      </c>
      <c r="B108" s="9" t="str">
        <f>IF(Student_Data!N108&lt;70,"Low","OK")</f>
        <v>OK</v>
      </c>
      <c r="C108" s="9" t="str">
        <f>IF(OR(Student_Data!G108&lt;40,Student_Data!H108&lt;40,Student_Data!I108&lt;40,Student_Data!J108&lt;40,Student_Data!K108&lt;40),"Fail","Pass")</f>
        <v>Pass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 t="str">
        <f>IF(Student_Data!M109&gt;85,"Topper","Average")</f>
        <v>Average</v>
      </c>
      <c r="B109" s="9" t="str">
        <f>IF(Student_Data!N109&lt;70,"Low","OK")</f>
        <v>OK</v>
      </c>
      <c r="C109" s="9" t="str">
        <f>IF(OR(Student_Data!G109&lt;40,Student_Data!H109&lt;40,Student_Data!I109&lt;40,Student_Data!J109&lt;40,Student_Data!K109&lt;40),"Fail","Pass")</f>
        <v>Pass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 t="str">
        <f>IF(Student_Data!M110&gt;85,"Topper","Average")</f>
        <v>Average</v>
      </c>
      <c r="B110" s="9" t="str">
        <f>IF(Student_Data!N110&lt;70,"Low","OK")</f>
        <v>OK</v>
      </c>
      <c r="C110" s="9" t="str">
        <f>IF(OR(Student_Data!G110&lt;40,Student_Data!H110&lt;40,Student_Data!I110&lt;40,Student_Data!J110&lt;40,Student_Data!K110&lt;40),"Fail","Pass")</f>
        <v>Pass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 t="str">
        <f>IF(Student_Data!M111&gt;85,"Topper","Average")</f>
        <v>Average</v>
      </c>
      <c r="B111" s="9" t="str">
        <f>IF(Student_Data!N111&lt;70,"Low","OK")</f>
        <v>OK</v>
      </c>
      <c r="C111" s="9" t="str">
        <f>IF(OR(Student_Data!G111&lt;40,Student_Data!H111&lt;40,Student_Data!I111&lt;40,Student_Data!J111&lt;40,Student_Data!K111&lt;40),"Fail","Pass")</f>
        <v>Pass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 t="str">
        <f>IF(Student_Data!M112&gt;85,"Topper","Average")</f>
        <v>Average</v>
      </c>
      <c r="B112" s="9" t="str">
        <f>IF(Student_Data!N112&lt;70,"Low","OK")</f>
        <v>Low</v>
      </c>
      <c r="C112" s="9" t="str">
        <f>IF(OR(Student_Data!G112&lt;40,Student_Data!H112&lt;40,Student_Data!I112&lt;40,Student_Data!J112&lt;40,Student_Data!K112&lt;40),"Fail","Pass")</f>
        <v>Pass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 t="str">
        <f>IF(Student_Data!M113&gt;85,"Topper","Average")</f>
        <v>Average</v>
      </c>
      <c r="B113" s="9" t="str">
        <f>IF(Student_Data!N113&lt;70,"Low","OK")</f>
        <v>OK</v>
      </c>
      <c r="C113" s="9" t="str">
        <f>IF(OR(Student_Data!G113&lt;40,Student_Data!H113&lt;40,Student_Data!I113&lt;40,Student_Data!J113&lt;40,Student_Data!K113&lt;40),"Fail","Pass")</f>
        <v>Pass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 t="str">
        <f>IF(Student_Data!M114&gt;85,"Topper","Average")</f>
        <v>Average</v>
      </c>
      <c r="B114" s="9" t="str">
        <f>IF(Student_Data!N114&lt;70,"Low","OK")</f>
        <v>OK</v>
      </c>
      <c r="C114" s="9" t="str">
        <f>IF(OR(Student_Data!G114&lt;40,Student_Data!H114&lt;40,Student_Data!I114&lt;40,Student_Data!J114&lt;40,Student_Data!K114&lt;40),"Fail","Pass")</f>
        <v>Pass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 t="str">
        <f>IF(Student_Data!M115&gt;85,"Topper","Average")</f>
        <v>Average</v>
      </c>
      <c r="B115" s="9" t="str">
        <f>IF(Student_Data!N115&lt;70,"Low","OK")</f>
        <v>OK</v>
      </c>
      <c r="C115" s="9" t="str">
        <f>IF(OR(Student_Data!G115&lt;40,Student_Data!H115&lt;40,Student_Data!I115&lt;40,Student_Data!J115&lt;40,Student_Data!K115&lt;40),"Fail","Pass")</f>
        <v>Pass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 t="str">
        <f>IF(Student_Data!M116&gt;85,"Topper","Average")</f>
        <v>Average</v>
      </c>
      <c r="B116" s="9" t="str">
        <f>IF(Student_Data!N116&lt;70,"Low","OK")</f>
        <v>OK</v>
      </c>
      <c r="C116" s="9" t="str">
        <f>IF(OR(Student_Data!G116&lt;40,Student_Data!H116&lt;40,Student_Data!I116&lt;40,Student_Data!J116&lt;40,Student_Data!K116&lt;40),"Fail","Pass")</f>
        <v>Pass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 t="str">
        <f>IF(Student_Data!M117&gt;85,"Topper","Average")</f>
        <v>Average</v>
      </c>
      <c r="B117" s="9" t="str">
        <f>IF(Student_Data!N117&lt;70,"Low","OK")</f>
        <v>Low</v>
      </c>
      <c r="C117" s="9" t="str">
        <f>IF(OR(Student_Data!G117&lt;40,Student_Data!H117&lt;40,Student_Data!I117&lt;40,Student_Data!J117&lt;40,Student_Data!K117&lt;40),"Fail","Pass")</f>
        <v>Pass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 t="str">
        <f>IF(Student_Data!M118&gt;85,"Topper","Average")</f>
        <v>Average</v>
      </c>
      <c r="B118" s="9" t="str">
        <f>IF(Student_Data!N118&lt;70,"Low","OK")</f>
        <v>OK</v>
      </c>
      <c r="C118" s="9" t="str">
        <f>IF(OR(Student_Data!G118&lt;40,Student_Data!H118&lt;40,Student_Data!I118&lt;40,Student_Data!J118&lt;40,Student_Data!K118&lt;40),"Fail","Pass")</f>
        <v>Pass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 t="str">
        <f>IF(Student_Data!M119&gt;85,"Topper","Average")</f>
        <v>Average</v>
      </c>
      <c r="B119" s="9" t="str">
        <f>IF(Student_Data!N119&lt;70,"Low","OK")</f>
        <v>OK</v>
      </c>
      <c r="C119" s="9" t="str">
        <f>IF(OR(Student_Data!G119&lt;40,Student_Data!H119&lt;40,Student_Data!I119&lt;40,Student_Data!J119&lt;40,Student_Data!K119&lt;40),"Fail","Pass")</f>
        <v>Pass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 t="str">
        <f>IF(Student_Data!M120&gt;85,"Topper","Average")</f>
        <v>Average</v>
      </c>
      <c r="B120" s="9" t="str">
        <f>IF(Student_Data!N120&lt;70,"Low","OK")</f>
        <v>OK</v>
      </c>
      <c r="C120" s="9" t="str">
        <f>IF(OR(Student_Data!G120&lt;40,Student_Data!H120&lt;40,Student_Data!I120&lt;40,Student_Data!J120&lt;40,Student_Data!K120&lt;40),"Fail","Pass")</f>
        <v>Pass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 t="str">
        <f>IF(Student_Data!M121&gt;85,"Topper","Average")</f>
        <v>Average</v>
      </c>
      <c r="B121" s="9" t="str">
        <f>IF(Student_Data!N121&lt;70,"Low","OK")</f>
        <v>OK</v>
      </c>
      <c r="C121" s="9" t="str">
        <f>IF(OR(Student_Data!G121&lt;40,Student_Data!H121&lt;40,Student_Data!I121&lt;40,Student_Data!J121&lt;40,Student_Data!K121&lt;40),"Fail","Pass")</f>
        <v>Pass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 t="str">
        <f>IF(Student_Data!M122&gt;85,"Topper","Average")</f>
        <v>Average</v>
      </c>
      <c r="B122" s="9" t="str">
        <f>IF(Student_Data!N122&lt;70,"Low","OK")</f>
        <v>Low</v>
      </c>
      <c r="C122" s="9" t="str">
        <f>IF(OR(Student_Data!G122&lt;40,Student_Data!H122&lt;40,Student_Data!I122&lt;40,Student_Data!J122&lt;40,Student_Data!K122&lt;40),"Fail","Pass")</f>
        <v>Pass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 t="str">
        <f>IF(Student_Data!M123&gt;85,"Topper","Average")</f>
        <v>Average</v>
      </c>
      <c r="B123" s="9" t="str">
        <f>IF(Student_Data!N123&lt;70,"Low","OK")</f>
        <v>Low</v>
      </c>
      <c r="C123" s="9" t="str">
        <f>IF(OR(Student_Data!G123&lt;40,Student_Data!H123&lt;40,Student_Data!I123&lt;40,Student_Data!J123&lt;40,Student_Data!K123&lt;40),"Fail","Pass")</f>
        <v>Pass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 t="str">
        <f>IF(Student_Data!M124&gt;85,"Topper","Average")</f>
        <v>Average</v>
      </c>
      <c r="B124" s="9" t="str">
        <f>IF(Student_Data!N124&lt;70,"Low","OK")</f>
        <v>OK</v>
      </c>
      <c r="C124" s="9" t="str">
        <f>IF(OR(Student_Data!G124&lt;40,Student_Data!H124&lt;40,Student_Data!I124&lt;40,Student_Data!J124&lt;40,Student_Data!K124&lt;40),"Fail","Pass")</f>
        <v>Pass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 t="str">
        <f>IF(Student_Data!M125&gt;85,"Topper","Average")</f>
        <v>Average</v>
      </c>
      <c r="B125" s="9" t="str">
        <f>IF(Student_Data!N125&lt;70,"Low","OK")</f>
        <v>OK</v>
      </c>
      <c r="C125" s="9" t="str">
        <f>IF(OR(Student_Data!G125&lt;40,Student_Data!H125&lt;40,Student_Data!I125&lt;40,Student_Data!J125&lt;40,Student_Data!K125&lt;40),"Fail","Pass")</f>
        <v>Pass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 t="str">
        <f>IF(Student_Data!M126&gt;85,"Topper","Average")</f>
        <v>Average</v>
      </c>
      <c r="B126" s="9" t="str">
        <f>IF(Student_Data!N126&lt;70,"Low","OK")</f>
        <v>OK</v>
      </c>
      <c r="C126" s="9" t="str">
        <f>IF(OR(Student_Data!G126&lt;40,Student_Data!H126&lt;40,Student_Data!I126&lt;40,Student_Data!J126&lt;40,Student_Data!K126&lt;40),"Fail","Pass")</f>
        <v>Pass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 t="str">
        <f>IF(Student_Data!M127&gt;85,"Topper","Average")</f>
        <v>Average</v>
      </c>
      <c r="B127" s="9" t="str">
        <f>IF(Student_Data!N127&lt;70,"Low","OK")</f>
        <v>Low</v>
      </c>
      <c r="C127" s="9" t="str">
        <f>IF(OR(Student_Data!G127&lt;40,Student_Data!H127&lt;40,Student_Data!I127&lt;40,Student_Data!J127&lt;40,Student_Data!K127&lt;40),"Fail","Pass")</f>
        <v>Pass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 t="str">
        <f>IF(Student_Data!M128&gt;85,"Topper","Average")</f>
        <v>Average</v>
      </c>
      <c r="B128" s="9" t="str">
        <f>IF(Student_Data!N128&lt;70,"Low","OK")</f>
        <v>OK</v>
      </c>
      <c r="C128" s="9" t="str">
        <f>IF(OR(Student_Data!G128&lt;40,Student_Data!H128&lt;40,Student_Data!I128&lt;40,Student_Data!J128&lt;40,Student_Data!K128&lt;40),"Fail","Pass")</f>
        <v>Pass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 t="str">
        <f>IF(Student_Data!M129&gt;85,"Topper","Average")</f>
        <v>Average</v>
      </c>
      <c r="B129" s="9" t="str">
        <f>IF(Student_Data!N129&lt;70,"Low","OK")</f>
        <v>OK</v>
      </c>
      <c r="C129" s="9" t="str">
        <f>IF(OR(Student_Data!G129&lt;40,Student_Data!H129&lt;40,Student_Data!I129&lt;40,Student_Data!J129&lt;40,Student_Data!K129&lt;40),"Fail","Pass")</f>
        <v>Pass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 t="str">
        <f>IF(Student_Data!M130&gt;85,"Topper","Average")</f>
        <v>Average</v>
      </c>
      <c r="B130" s="9" t="str">
        <f>IF(Student_Data!N130&lt;70,"Low","OK")</f>
        <v>OK</v>
      </c>
      <c r="C130" s="9" t="str">
        <f>IF(OR(Student_Data!G130&lt;40,Student_Data!H130&lt;40,Student_Data!I130&lt;40,Student_Data!J130&lt;40,Student_Data!K130&lt;40),"Fail","Pass")</f>
        <v>Pass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 t="str">
        <f>IF(Student_Data!M131&gt;85,"Topper","Average")</f>
        <v>Average</v>
      </c>
      <c r="B131" s="9" t="str">
        <f>IF(Student_Data!N131&lt;70,"Low","OK")</f>
        <v>OK</v>
      </c>
      <c r="C131" s="9" t="str">
        <f>IF(OR(Student_Data!G131&lt;40,Student_Data!H131&lt;40,Student_Data!I131&lt;40,Student_Data!J131&lt;40,Student_Data!K131&lt;40),"Fail","Pass")</f>
        <v>Pass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 t="str">
        <f>IF(Student_Data!M132&gt;85,"Topper","Average")</f>
        <v>Average</v>
      </c>
      <c r="B132" s="9" t="str">
        <f>IF(Student_Data!N132&lt;70,"Low","OK")</f>
        <v>OK</v>
      </c>
      <c r="C132" s="9" t="str">
        <f>IF(OR(Student_Data!G132&lt;40,Student_Data!H132&lt;40,Student_Data!I132&lt;40,Student_Data!J132&lt;40,Student_Data!K132&lt;40),"Fail","Pass")</f>
        <v>Pass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 t="str">
        <f>IF(Student_Data!M133&gt;85,"Topper","Average")</f>
        <v>Average</v>
      </c>
      <c r="B133" s="9" t="str">
        <f>IF(Student_Data!N133&lt;70,"Low","OK")</f>
        <v>OK</v>
      </c>
      <c r="C133" s="9" t="str">
        <f>IF(OR(Student_Data!G133&lt;40,Student_Data!H133&lt;40,Student_Data!I133&lt;40,Student_Data!J133&lt;40,Student_Data!K133&lt;40),"Fail","Pass")</f>
        <v>Pass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 t="str">
        <f>IF(Student_Data!M134&gt;85,"Topper","Average")</f>
        <v>Average</v>
      </c>
      <c r="B134" s="9" t="str">
        <f>IF(Student_Data!N134&lt;70,"Low","OK")</f>
        <v>Low</v>
      </c>
      <c r="C134" s="9" t="str">
        <f>IF(OR(Student_Data!G134&lt;40,Student_Data!H134&lt;40,Student_Data!I134&lt;40,Student_Data!J134&lt;40,Student_Data!K134&lt;40),"Fail","Pass")</f>
        <v>Pass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 t="str">
        <f>IF(Student_Data!M135&gt;85,"Topper","Average")</f>
        <v>Average</v>
      </c>
      <c r="B135" s="9" t="str">
        <f>IF(Student_Data!N135&lt;70,"Low","OK")</f>
        <v>OK</v>
      </c>
      <c r="C135" s="9" t="str">
        <f>IF(OR(Student_Data!G135&lt;40,Student_Data!H135&lt;40,Student_Data!I135&lt;40,Student_Data!J135&lt;40,Student_Data!K135&lt;40),"Fail","Pass")</f>
        <v>Pass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 t="str">
        <f>IF(Student_Data!M136&gt;85,"Topper","Average")</f>
        <v>Average</v>
      </c>
      <c r="B136" s="9" t="str">
        <f>IF(Student_Data!N136&lt;70,"Low","OK")</f>
        <v>Low</v>
      </c>
      <c r="C136" s="9" t="str">
        <f>IF(OR(Student_Data!G136&lt;40,Student_Data!H136&lt;40,Student_Data!I136&lt;40,Student_Data!J136&lt;40,Student_Data!K136&lt;40),"Fail","Pass")</f>
        <v>Pass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 t="str">
        <f>IF(Student_Data!M137&gt;85,"Topper","Average")</f>
        <v>Average</v>
      </c>
      <c r="B137" s="9" t="str">
        <f>IF(Student_Data!N137&lt;70,"Low","OK")</f>
        <v>Low</v>
      </c>
      <c r="C137" s="9" t="str">
        <f>IF(OR(Student_Data!G137&lt;40,Student_Data!H137&lt;40,Student_Data!I137&lt;40,Student_Data!J137&lt;40,Student_Data!K137&lt;40),"Fail","Pass")</f>
        <v>Pass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 t="str">
        <f>IF(Student_Data!M138&gt;85,"Topper","Average")</f>
        <v>Average</v>
      </c>
      <c r="B138" s="9" t="str">
        <f>IF(Student_Data!N138&lt;70,"Low","OK")</f>
        <v>OK</v>
      </c>
      <c r="C138" s="9" t="str">
        <f>IF(OR(Student_Data!G138&lt;40,Student_Data!H138&lt;40,Student_Data!I138&lt;40,Student_Data!J138&lt;40,Student_Data!K138&lt;40),"Fail","Pass")</f>
        <v>Pass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 t="str">
        <f>IF(Student_Data!M139&gt;85,"Topper","Average")</f>
        <v>Average</v>
      </c>
      <c r="B139" s="9" t="str">
        <f>IF(Student_Data!N139&lt;70,"Low","OK")</f>
        <v>Low</v>
      </c>
      <c r="C139" s="9" t="str">
        <f>IF(OR(Student_Data!G139&lt;40,Student_Data!H139&lt;40,Student_Data!I139&lt;40,Student_Data!J139&lt;40,Student_Data!K139&lt;40),"Fail","Pass")</f>
        <v>Pass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 t="str">
        <f>IF(Student_Data!M140&gt;85,"Topper","Average")</f>
        <v>Average</v>
      </c>
      <c r="B140" s="9" t="str">
        <f>IF(Student_Data!N140&lt;70,"Low","OK")</f>
        <v>Low</v>
      </c>
      <c r="C140" s="9" t="str">
        <f>IF(OR(Student_Data!G140&lt;40,Student_Data!H140&lt;40,Student_Data!I140&lt;40,Student_Data!J140&lt;40,Student_Data!K140&lt;40),"Fail","Pass")</f>
        <v>Pass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 t="str">
        <f>IF(Student_Data!M141&gt;85,"Topper","Average")</f>
        <v>Average</v>
      </c>
      <c r="B141" s="9" t="str">
        <f>IF(Student_Data!N141&lt;70,"Low","OK")</f>
        <v>OK</v>
      </c>
      <c r="C141" s="9" t="str">
        <f>IF(OR(Student_Data!G141&lt;40,Student_Data!H141&lt;40,Student_Data!I141&lt;40,Student_Data!J141&lt;40,Student_Data!K141&lt;40),"Fail","Pass")</f>
        <v>Pass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 t="str">
        <f>IF(Student_Data!M142&gt;85,"Topper","Average")</f>
        <v>Average</v>
      </c>
      <c r="B142" s="9" t="str">
        <f>IF(Student_Data!N142&lt;70,"Low","OK")</f>
        <v>Low</v>
      </c>
      <c r="C142" s="9" t="str">
        <f>IF(OR(Student_Data!G142&lt;40,Student_Data!H142&lt;40,Student_Data!I142&lt;40,Student_Data!J142&lt;40,Student_Data!K142&lt;40),"Fail","Pass")</f>
        <v>Pass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 t="str">
        <f>IF(Student_Data!M143&gt;85,"Topper","Average")</f>
        <v>Average</v>
      </c>
      <c r="B143" s="9" t="str">
        <f>IF(Student_Data!N143&lt;70,"Low","OK")</f>
        <v>OK</v>
      </c>
      <c r="C143" s="9" t="str">
        <f>IF(OR(Student_Data!G143&lt;40,Student_Data!H143&lt;40,Student_Data!I143&lt;40,Student_Data!J143&lt;40,Student_Data!K143&lt;40),"Fail","Pass")</f>
        <v>Pass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 t="str">
        <f>IF(Student_Data!M144&gt;85,"Topper","Average")</f>
        <v>Average</v>
      </c>
      <c r="B144" s="9" t="str">
        <f>IF(Student_Data!N144&lt;70,"Low","OK")</f>
        <v>OK</v>
      </c>
      <c r="C144" s="9" t="str">
        <f>IF(OR(Student_Data!G144&lt;40,Student_Data!H144&lt;40,Student_Data!I144&lt;40,Student_Data!J144&lt;40,Student_Data!K144&lt;40),"Fail","Pass")</f>
        <v>Pass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 t="str">
        <f>IF(Student_Data!M145&gt;85,"Topper","Average")</f>
        <v>Average</v>
      </c>
      <c r="B145" s="9" t="str">
        <f>IF(Student_Data!N145&lt;70,"Low","OK")</f>
        <v>Low</v>
      </c>
      <c r="C145" s="9" t="str">
        <f>IF(OR(Student_Data!G145&lt;40,Student_Data!H145&lt;40,Student_Data!I145&lt;40,Student_Data!J145&lt;40,Student_Data!K145&lt;40),"Fail","Pass")</f>
        <v>Pass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 t="str">
        <f>IF(Student_Data!M146&gt;85,"Topper","Average")</f>
        <v>Average</v>
      </c>
      <c r="B146" s="9" t="str">
        <f>IF(Student_Data!N146&lt;70,"Low","OK")</f>
        <v>Low</v>
      </c>
      <c r="C146" s="9" t="str">
        <f>IF(OR(Student_Data!G146&lt;40,Student_Data!H146&lt;40,Student_Data!I146&lt;40,Student_Data!J146&lt;40,Student_Data!K146&lt;40),"Fail","Pass")</f>
        <v>Pass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 t="str">
        <f>IF(Student_Data!M147&gt;85,"Topper","Average")</f>
        <v>Average</v>
      </c>
      <c r="B147" s="9" t="str">
        <f>IF(Student_Data!N147&lt;70,"Low","OK")</f>
        <v>OK</v>
      </c>
      <c r="C147" s="9" t="str">
        <f>IF(OR(Student_Data!G147&lt;40,Student_Data!H147&lt;40,Student_Data!I147&lt;40,Student_Data!J147&lt;40,Student_Data!K147&lt;40),"Fail","Pass")</f>
        <v>Pass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 t="str">
        <f>IF(Student_Data!M148&gt;85,"Topper","Average")</f>
        <v>Average</v>
      </c>
      <c r="B148" s="9" t="str">
        <f>IF(Student_Data!N148&lt;70,"Low","OK")</f>
        <v>OK</v>
      </c>
      <c r="C148" s="9" t="str">
        <f>IF(OR(Student_Data!G148&lt;40,Student_Data!H148&lt;40,Student_Data!I148&lt;40,Student_Data!J148&lt;40,Student_Data!K148&lt;40),"Fail","Pass")</f>
        <v>Pass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 t="str">
        <f>IF(Student_Data!M149&gt;85,"Topper","Average")</f>
        <v>Average</v>
      </c>
      <c r="B149" s="9" t="str">
        <f>IF(Student_Data!N149&lt;70,"Low","OK")</f>
        <v>OK</v>
      </c>
      <c r="C149" s="9" t="str">
        <f>IF(OR(Student_Data!G149&lt;40,Student_Data!H149&lt;40,Student_Data!I149&lt;40,Student_Data!J149&lt;40,Student_Data!K149&lt;40),"Fail","Pass")</f>
        <v>Pass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 t="str">
        <f>IF(Student_Data!M150&gt;85,"Topper","Average")</f>
        <v>Average</v>
      </c>
      <c r="B150" s="9" t="str">
        <f>IF(Student_Data!N150&lt;70,"Low","OK")</f>
        <v>OK</v>
      </c>
      <c r="C150" s="9" t="str">
        <f>IF(OR(Student_Data!G150&lt;40,Student_Data!H150&lt;40,Student_Data!I150&lt;40,Student_Data!J150&lt;40,Student_Data!K150&lt;40),"Fail","Pass")</f>
        <v>Pass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 t="str">
        <f>IF(Student_Data!M151&gt;85,"Topper","Average")</f>
        <v>Average</v>
      </c>
      <c r="B151" s="9" t="str">
        <f>IF(Student_Data!N151&lt;70,"Low","OK")</f>
        <v>OK</v>
      </c>
      <c r="C151" s="9" t="str">
        <f>IF(OR(Student_Data!G151&lt;40,Student_Data!H151&lt;40,Student_Data!I151&lt;40,Student_Data!J151&lt;40,Student_Data!K151&lt;40),"Fail","Pass")</f>
        <v>Pass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 t="str">
        <f>IF(Student_Data!M152&gt;85,"Topper","Average")</f>
        <v>Average</v>
      </c>
      <c r="B152" s="9" t="str">
        <f>IF(Student_Data!N152&lt;70,"Low","OK")</f>
        <v>OK</v>
      </c>
      <c r="C152" s="9" t="str">
        <f>IF(OR(Student_Data!G152&lt;40,Student_Data!H152&lt;40,Student_Data!I152&lt;40,Student_Data!J152&lt;40,Student_Data!K152&lt;40),"Fail","Pass")</f>
        <v>Pass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 t="str">
        <f>IF(Student_Data!M153&gt;85,"Topper","Average")</f>
        <v>Average</v>
      </c>
      <c r="B153" s="9" t="str">
        <f>IF(Student_Data!N153&lt;70,"Low","OK")</f>
        <v>OK</v>
      </c>
      <c r="C153" s="9" t="str">
        <f>IF(OR(Student_Data!G153&lt;40,Student_Data!H153&lt;40,Student_Data!I153&lt;40,Student_Data!J153&lt;40,Student_Data!K153&lt;40),"Fail","Pass")</f>
        <v>Pass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 t="str">
        <f>IF(Student_Data!M154&gt;85,"Topper","Average")</f>
        <v>Average</v>
      </c>
      <c r="B154" s="9" t="str">
        <f>IF(Student_Data!N154&lt;70,"Low","OK")</f>
        <v>OK</v>
      </c>
      <c r="C154" s="9" t="str">
        <f>IF(OR(Student_Data!G154&lt;40,Student_Data!H154&lt;40,Student_Data!I154&lt;40,Student_Data!J154&lt;40,Student_Data!K154&lt;40),"Fail","Pass")</f>
        <v>Pass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 t="str">
        <f>IF(Student_Data!M155&gt;85,"Topper","Average")</f>
        <v>Average</v>
      </c>
      <c r="B155" s="9" t="str">
        <f>IF(Student_Data!N155&lt;70,"Low","OK")</f>
        <v>OK</v>
      </c>
      <c r="C155" s="9" t="str">
        <f>IF(OR(Student_Data!G155&lt;40,Student_Data!H155&lt;40,Student_Data!I155&lt;40,Student_Data!J155&lt;40,Student_Data!K155&lt;40),"Fail","Pass")</f>
        <v>Pass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 t="str">
        <f>IF(Student_Data!M156&gt;85,"Topper","Average")</f>
        <v>Average</v>
      </c>
      <c r="B156" s="9" t="str">
        <f>IF(Student_Data!N156&lt;70,"Low","OK")</f>
        <v>Low</v>
      </c>
      <c r="C156" s="9" t="str">
        <f>IF(OR(Student_Data!G156&lt;40,Student_Data!H156&lt;40,Student_Data!I156&lt;40,Student_Data!J156&lt;40,Student_Data!K156&lt;40),"Fail","Pass")</f>
        <v>Pass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 t="str">
        <f>IF(Student_Data!M157&gt;85,"Topper","Average")</f>
        <v>Average</v>
      </c>
      <c r="B157" s="9" t="str">
        <f>IF(Student_Data!N157&lt;70,"Low","OK")</f>
        <v>OK</v>
      </c>
      <c r="C157" s="9" t="str">
        <f>IF(OR(Student_Data!G157&lt;40,Student_Data!H157&lt;40,Student_Data!I157&lt;40,Student_Data!J157&lt;40,Student_Data!K157&lt;40),"Fail","Pass")</f>
        <v>Pass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 t="str">
        <f>IF(Student_Data!M158&gt;85,"Topper","Average")</f>
        <v>Average</v>
      </c>
      <c r="B158" s="9" t="str">
        <f>IF(Student_Data!N158&lt;70,"Low","OK")</f>
        <v>Low</v>
      </c>
      <c r="C158" s="9" t="str">
        <f>IF(OR(Student_Data!G158&lt;40,Student_Data!H158&lt;40,Student_Data!I158&lt;40,Student_Data!J158&lt;40,Student_Data!K158&lt;40),"Fail","Pass")</f>
        <v>Pass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 t="str">
        <f>IF(Student_Data!M159&gt;85,"Topper","Average")</f>
        <v>Average</v>
      </c>
      <c r="B159" s="9" t="str">
        <f>IF(Student_Data!N159&lt;70,"Low","OK")</f>
        <v>OK</v>
      </c>
      <c r="C159" s="9" t="str">
        <f>IF(OR(Student_Data!G159&lt;40,Student_Data!H159&lt;40,Student_Data!I159&lt;40,Student_Data!J159&lt;40,Student_Data!K159&lt;40),"Fail","Pass")</f>
        <v>Pass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 t="str">
        <f>IF(Student_Data!M160&gt;85,"Topper","Average")</f>
        <v>Average</v>
      </c>
      <c r="B160" s="9" t="str">
        <f>IF(Student_Data!N160&lt;70,"Low","OK")</f>
        <v>OK</v>
      </c>
      <c r="C160" s="9" t="str">
        <f>IF(OR(Student_Data!G160&lt;40,Student_Data!H160&lt;40,Student_Data!I160&lt;40,Student_Data!J160&lt;40,Student_Data!K160&lt;40),"Fail","Pass")</f>
        <v>Pass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 t="str">
        <f>IF(Student_Data!M161&gt;85,"Topper","Average")</f>
        <v>Average</v>
      </c>
      <c r="B161" s="9" t="str">
        <f>IF(Student_Data!N161&lt;70,"Low","OK")</f>
        <v>OK</v>
      </c>
      <c r="C161" s="9" t="str">
        <f>IF(OR(Student_Data!G161&lt;40,Student_Data!H161&lt;40,Student_Data!I161&lt;40,Student_Data!J161&lt;40,Student_Data!K161&lt;40),"Fail","Pass")</f>
        <v>Pass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 t="str">
        <f>IF(Student_Data!M162&gt;85,"Topper","Average")</f>
        <v>Average</v>
      </c>
      <c r="B162" s="9" t="str">
        <f>IF(Student_Data!N162&lt;70,"Low","OK")</f>
        <v>OK</v>
      </c>
      <c r="C162" s="9" t="str">
        <f>IF(OR(Student_Data!G162&lt;40,Student_Data!H162&lt;40,Student_Data!I162&lt;40,Student_Data!J162&lt;40,Student_Data!K162&lt;40),"Fail","Pass")</f>
        <v>Pass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 t="str">
        <f>IF(Student_Data!M163&gt;85,"Topper","Average")</f>
        <v>Average</v>
      </c>
      <c r="B163" s="9" t="str">
        <f>IF(Student_Data!N163&lt;70,"Low","OK")</f>
        <v>OK</v>
      </c>
      <c r="C163" s="9" t="str">
        <f>IF(OR(Student_Data!G163&lt;40,Student_Data!H163&lt;40,Student_Data!I163&lt;40,Student_Data!J163&lt;40,Student_Data!K163&lt;40),"Fail","Pass")</f>
        <v>Pass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 t="str">
        <f>IF(Student_Data!M164&gt;85,"Topper","Average")</f>
        <v>Average</v>
      </c>
      <c r="B164" s="9" t="str">
        <f>IF(Student_Data!N164&lt;70,"Low","OK")</f>
        <v>Low</v>
      </c>
      <c r="C164" s="9" t="str">
        <f>IF(OR(Student_Data!G164&lt;40,Student_Data!H164&lt;40,Student_Data!I164&lt;40,Student_Data!J164&lt;40,Student_Data!K164&lt;40),"Fail","Pass")</f>
        <v>Pass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 t="str">
        <f>IF(Student_Data!M165&gt;85,"Topper","Average")</f>
        <v>Average</v>
      </c>
      <c r="B165" s="9" t="str">
        <f>IF(Student_Data!N165&lt;70,"Low","OK")</f>
        <v>OK</v>
      </c>
      <c r="C165" s="9" t="str">
        <f>IF(OR(Student_Data!G165&lt;40,Student_Data!H165&lt;40,Student_Data!I165&lt;40,Student_Data!J165&lt;40,Student_Data!K165&lt;40),"Fail","Pass")</f>
        <v>Pass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 t="str">
        <f>IF(Student_Data!M166&gt;85,"Topper","Average")</f>
        <v>Average</v>
      </c>
      <c r="B166" s="9" t="str">
        <f>IF(Student_Data!N166&lt;70,"Low","OK")</f>
        <v>OK</v>
      </c>
      <c r="C166" s="9" t="str">
        <f>IF(OR(Student_Data!G166&lt;40,Student_Data!H166&lt;40,Student_Data!I166&lt;40,Student_Data!J166&lt;40,Student_Data!K166&lt;40),"Fail","Pass")</f>
        <v>Pass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 t="str">
        <f>IF(Student_Data!M167&gt;85,"Topper","Average")</f>
        <v>Average</v>
      </c>
      <c r="B167" s="9" t="str">
        <f>IF(Student_Data!N167&lt;70,"Low","OK")</f>
        <v>Low</v>
      </c>
      <c r="C167" s="9" t="str">
        <f>IF(OR(Student_Data!G167&lt;40,Student_Data!H167&lt;40,Student_Data!I167&lt;40,Student_Data!J167&lt;40,Student_Data!K167&lt;40),"Fail","Pass")</f>
        <v>Pass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 t="str">
        <f>IF(Student_Data!M168&gt;85,"Topper","Average")</f>
        <v>Average</v>
      </c>
      <c r="B168" s="9" t="str">
        <f>IF(Student_Data!N168&lt;70,"Low","OK")</f>
        <v>Low</v>
      </c>
      <c r="C168" s="9" t="str">
        <f>IF(OR(Student_Data!G168&lt;40,Student_Data!H168&lt;40,Student_Data!I168&lt;40,Student_Data!J168&lt;40,Student_Data!K168&lt;40),"Fail","Pass")</f>
        <v>Pass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 t="str">
        <f>IF(Student_Data!M169&gt;85,"Topper","Average")</f>
        <v>Average</v>
      </c>
      <c r="B169" s="9" t="str">
        <f>IF(Student_Data!N169&lt;70,"Low","OK")</f>
        <v>OK</v>
      </c>
      <c r="C169" s="9" t="str">
        <f>IF(OR(Student_Data!G169&lt;40,Student_Data!H169&lt;40,Student_Data!I169&lt;40,Student_Data!J169&lt;40,Student_Data!K169&lt;40),"Fail","Pass")</f>
        <v>Pass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 t="str">
        <f>IF(Student_Data!M170&gt;85,"Topper","Average")</f>
        <v>Average</v>
      </c>
      <c r="B170" s="9" t="str">
        <f>IF(Student_Data!N170&lt;70,"Low","OK")</f>
        <v>OK</v>
      </c>
      <c r="C170" s="9" t="str">
        <f>IF(OR(Student_Data!G170&lt;40,Student_Data!H170&lt;40,Student_Data!I170&lt;40,Student_Data!J170&lt;40,Student_Data!K170&lt;40),"Fail","Pass")</f>
        <v>Pass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 t="str">
        <f>IF(Student_Data!M171&gt;85,"Topper","Average")</f>
        <v>Average</v>
      </c>
      <c r="B171" s="9" t="str">
        <f>IF(Student_Data!N171&lt;70,"Low","OK")</f>
        <v>OK</v>
      </c>
      <c r="C171" s="9" t="str">
        <f>IF(OR(Student_Data!G171&lt;40,Student_Data!H171&lt;40,Student_Data!I171&lt;40,Student_Data!J171&lt;40,Student_Data!K171&lt;40),"Fail","Pass")</f>
        <v>Pass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 t="str">
        <f>IF(Student_Data!M172&gt;85,"Topper","Average")</f>
        <v>Average</v>
      </c>
      <c r="B172" s="9" t="str">
        <f>IF(Student_Data!N172&lt;70,"Low","OK")</f>
        <v>OK</v>
      </c>
      <c r="C172" s="9" t="str">
        <f>IF(OR(Student_Data!G172&lt;40,Student_Data!H172&lt;40,Student_Data!I172&lt;40,Student_Data!J172&lt;40,Student_Data!K172&lt;40),"Fail","Pass")</f>
        <v>Pass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 t="str">
        <f>IF(Student_Data!M173&gt;85,"Topper","Average")</f>
        <v>Average</v>
      </c>
      <c r="B173" s="9" t="str">
        <f>IF(Student_Data!N173&lt;70,"Low","OK")</f>
        <v>OK</v>
      </c>
      <c r="C173" s="9" t="str">
        <f>IF(OR(Student_Data!G173&lt;40,Student_Data!H173&lt;40,Student_Data!I173&lt;40,Student_Data!J173&lt;40,Student_Data!K173&lt;40),"Fail","Pass")</f>
        <v>Pass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 t="str">
        <f>IF(Student_Data!M174&gt;85,"Topper","Average")</f>
        <v>Average</v>
      </c>
      <c r="B174" s="9" t="str">
        <f>IF(Student_Data!N174&lt;70,"Low","OK")</f>
        <v>Low</v>
      </c>
      <c r="C174" s="9" t="str">
        <f>IF(OR(Student_Data!G174&lt;40,Student_Data!H174&lt;40,Student_Data!I174&lt;40,Student_Data!J174&lt;40,Student_Data!K174&lt;40),"Fail","Pass")</f>
        <v>Pass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 t="str">
        <f>IF(Student_Data!M175&gt;85,"Topper","Average")</f>
        <v>Average</v>
      </c>
      <c r="B175" s="9" t="str">
        <f>IF(Student_Data!N175&lt;70,"Low","OK")</f>
        <v>OK</v>
      </c>
      <c r="C175" s="9" t="str">
        <f>IF(OR(Student_Data!G175&lt;40,Student_Data!H175&lt;40,Student_Data!I175&lt;40,Student_Data!J175&lt;40,Student_Data!K175&lt;40),"Fail","Pass")</f>
        <v>Pass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 t="str">
        <f>IF(Student_Data!M176&gt;85,"Topper","Average")</f>
        <v>Average</v>
      </c>
      <c r="B176" s="9" t="str">
        <f>IF(Student_Data!N176&lt;70,"Low","OK")</f>
        <v>Low</v>
      </c>
      <c r="C176" s="9" t="str">
        <f>IF(OR(Student_Data!G176&lt;40,Student_Data!H176&lt;40,Student_Data!I176&lt;40,Student_Data!J176&lt;40,Student_Data!K176&lt;40),"Fail","Pass")</f>
        <v>Pass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 t="str">
        <f>IF(Student_Data!M177&gt;85,"Topper","Average")</f>
        <v>Average</v>
      </c>
      <c r="B177" s="9" t="str">
        <f>IF(Student_Data!N177&lt;70,"Low","OK")</f>
        <v>OK</v>
      </c>
      <c r="C177" s="9" t="str">
        <f>IF(OR(Student_Data!G177&lt;40,Student_Data!H177&lt;40,Student_Data!I177&lt;40,Student_Data!J177&lt;40,Student_Data!K177&lt;40),"Fail","Pass")</f>
        <v>Pass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 t="str">
        <f>IF(Student_Data!M178&gt;85,"Topper","Average")</f>
        <v>Topper</v>
      </c>
      <c r="B178" s="9" t="str">
        <f>IF(Student_Data!N178&lt;70,"Low","OK")</f>
        <v>Low</v>
      </c>
      <c r="C178" s="9" t="str">
        <f>IF(OR(Student_Data!G178&lt;40,Student_Data!H178&lt;40,Student_Data!I178&lt;40,Student_Data!J178&lt;40,Student_Data!K178&lt;40),"Fail","Pass")</f>
        <v>Pass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 t="str">
        <f>IF(Student_Data!M179&gt;85,"Topper","Average")</f>
        <v>Average</v>
      </c>
      <c r="B179" s="9" t="str">
        <f>IF(Student_Data!N179&lt;70,"Low","OK")</f>
        <v>OK</v>
      </c>
      <c r="C179" s="9" t="str">
        <f>IF(OR(Student_Data!G179&lt;40,Student_Data!H179&lt;40,Student_Data!I179&lt;40,Student_Data!J179&lt;40,Student_Data!K179&lt;40),"Fail","Pass")</f>
        <v>Pass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 t="str">
        <f>IF(Student_Data!M180&gt;85,"Topper","Average")</f>
        <v>Average</v>
      </c>
      <c r="B180" s="9" t="str">
        <f>IF(Student_Data!N180&lt;70,"Low","OK")</f>
        <v>Low</v>
      </c>
      <c r="C180" s="9" t="str">
        <f>IF(OR(Student_Data!G180&lt;40,Student_Data!H180&lt;40,Student_Data!I180&lt;40,Student_Data!J180&lt;40,Student_Data!K180&lt;40),"Fail","Pass")</f>
        <v>Pass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 t="str">
        <f>IF(Student_Data!M181&gt;85,"Topper","Average")</f>
        <v>Average</v>
      </c>
      <c r="B181" s="9" t="str">
        <f>IF(Student_Data!N181&lt;70,"Low","OK")</f>
        <v>OK</v>
      </c>
      <c r="C181" s="9" t="str">
        <f>IF(OR(Student_Data!G181&lt;40,Student_Data!H181&lt;40,Student_Data!I181&lt;40,Student_Data!J181&lt;40,Student_Data!K181&lt;40),"Fail","Pass")</f>
        <v>Pass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 t="str">
        <f>IF(Student_Data!M182&gt;85,"Topper","Average")</f>
        <v>Average</v>
      </c>
      <c r="B182" s="9" t="str">
        <f>IF(Student_Data!N182&lt;70,"Low","OK")</f>
        <v>OK</v>
      </c>
      <c r="C182" s="9" t="str">
        <f>IF(OR(Student_Data!G182&lt;40,Student_Data!H182&lt;40,Student_Data!I182&lt;40,Student_Data!J182&lt;40,Student_Data!K182&lt;40),"Fail","Pass")</f>
        <v>Pass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 t="str">
        <f>IF(Student_Data!M183&gt;85,"Topper","Average")</f>
        <v>Average</v>
      </c>
      <c r="B183" s="9" t="str">
        <f>IF(Student_Data!N183&lt;70,"Low","OK")</f>
        <v>OK</v>
      </c>
      <c r="C183" s="9" t="str">
        <f>IF(OR(Student_Data!G183&lt;40,Student_Data!H183&lt;40,Student_Data!I183&lt;40,Student_Data!J183&lt;40,Student_Data!K183&lt;40),"Fail","Pass")</f>
        <v>Pass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 t="str">
        <f>IF(Student_Data!M184&gt;85,"Topper","Average")</f>
        <v>Average</v>
      </c>
      <c r="B184" s="9" t="str">
        <f>IF(Student_Data!N184&lt;70,"Low","OK")</f>
        <v>OK</v>
      </c>
      <c r="C184" s="9" t="str">
        <f>IF(OR(Student_Data!G184&lt;40,Student_Data!H184&lt;40,Student_Data!I184&lt;40,Student_Data!J184&lt;40,Student_Data!K184&lt;40),"Fail","Pass")</f>
        <v>Pass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 t="str">
        <f>IF(Student_Data!M185&gt;85,"Topper","Average")</f>
        <v>Average</v>
      </c>
      <c r="B185" s="9" t="str">
        <f>IF(Student_Data!N185&lt;70,"Low","OK")</f>
        <v>OK</v>
      </c>
      <c r="C185" s="9" t="str">
        <f>IF(OR(Student_Data!G185&lt;40,Student_Data!H185&lt;40,Student_Data!I185&lt;40,Student_Data!J185&lt;40,Student_Data!K185&lt;40),"Fail","Pass")</f>
        <v>Pass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 t="str">
        <f>IF(Student_Data!M186&gt;85,"Topper","Average")</f>
        <v>Average</v>
      </c>
      <c r="B186" s="9" t="str">
        <f>IF(Student_Data!N186&lt;70,"Low","OK")</f>
        <v>Low</v>
      </c>
      <c r="C186" s="9" t="str">
        <f>IF(OR(Student_Data!G186&lt;40,Student_Data!H186&lt;40,Student_Data!I186&lt;40,Student_Data!J186&lt;40,Student_Data!K186&lt;40),"Fail","Pass")</f>
        <v>Pass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 t="str">
        <f>IF(Student_Data!M187&gt;85,"Topper","Average")</f>
        <v>Average</v>
      </c>
      <c r="B187" s="9" t="str">
        <f>IF(Student_Data!N187&lt;70,"Low","OK")</f>
        <v>OK</v>
      </c>
      <c r="C187" s="9" t="str">
        <f>IF(OR(Student_Data!G187&lt;40,Student_Data!H187&lt;40,Student_Data!I187&lt;40,Student_Data!J187&lt;40,Student_Data!K187&lt;40),"Fail","Pass")</f>
        <v>Pass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 t="str">
        <f>IF(Student_Data!M188&gt;85,"Topper","Average")</f>
        <v>Average</v>
      </c>
      <c r="B188" s="9" t="str">
        <f>IF(Student_Data!N188&lt;70,"Low","OK")</f>
        <v>Low</v>
      </c>
      <c r="C188" s="9" t="str">
        <f>IF(OR(Student_Data!G188&lt;40,Student_Data!H188&lt;40,Student_Data!I188&lt;40,Student_Data!J188&lt;40,Student_Data!K188&lt;40),"Fail","Pass")</f>
        <v>Pass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 t="str">
        <f>IF(Student_Data!M189&gt;85,"Topper","Average")</f>
        <v>Average</v>
      </c>
      <c r="B189" s="9" t="str">
        <f>IF(Student_Data!N189&lt;70,"Low","OK")</f>
        <v>OK</v>
      </c>
      <c r="C189" s="9" t="str">
        <f>IF(OR(Student_Data!G189&lt;40,Student_Data!H189&lt;40,Student_Data!I189&lt;40,Student_Data!J189&lt;40,Student_Data!K189&lt;40),"Fail","Pass")</f>
        <v>Pass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 t="str">
        <f>IF(Student_Data!M190&gt;85,"Topper","Average")</f>
        <v>Average</v>
      </c>
      <c r="B190" s="9" t="str">
        <f>IF(Student_Data!N190&lt;70,"Low","OK")</f>
        <v>Low</v>
      </c>
      <c r="C190" s="9" t="str">
        <f>IF(OR(Student_Data!G190&lt;40,Student_Data!H190&lt;40,Student_Data!I190&lt;40,Student_Data!J190&lt;40,Student_Data!K190&lt;40),"Fail","Pass")</f>
        <v>Pass</v>
      </c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 t="str">
        <f>IF(Student_Data!M191&gt;85,"Topper","Average")</f>
        <v>Average</v>
      </c>
      <c r="B191" s="9" t="str">
        <f>IF(Student_Data!N191&lt;70,"Low","OK")</f>
        <v>Low</v>
      </c>
      <c r="C191" s="9" t="str">
        <f>IF(OR(Student_Data!G191&lt;40,Student_Data!H191&lt;40,Student_Data!I191&lt;40,Student_Data!J191&lt;40,Student_Data!K191&lt;40),"Fail","Pass")</f>
        <v>Pass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 t="str">
        <f>IF(Student_Data!M192&gt;85,"Topper","Average")</f>
        <v>Average</v>
      </c>
      <c r="B192" s="9" t="str">
        <f>IF(Student_Data!N192&lt;70,"Low","OK")</f>
        <v>OK</v>
      </c>
      <c r="C192" s="9" t="str">
        <f>IF(OR(Student_Data!G192&lt;40,Student_Data!H192&lt;40,Student_Data!I192&lt;40,Student_Data!J192&lt;40,Student_Data!K192&lt;40),"Fail","Pass")</f>
        <v>Pass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 t="str">
        <f>IF(Student_Data!M193&gt;85,"Topper","Average")</f>
        <v>Average</v>
      </c>
      <c r="B193" s="9" t="str">
        <f>IF(Student_Data!N193&lt;70,"Low","OK")</f>
        <v>OK</v>
      </c>
      <c r="C193" s="9" t="str">
        <f>IF(OR(Student_Data!G193&lt;40,Student_Data!H193&lt;40,Student_Data!I193&lt;40,Student_Data!J193&lt;40,Student_Data!K193&lt;40),"Fail","Pass")</f>
        <v>Pass</v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 t="str">
        <f>IF(Student_Data!M194&gt;85,"Topper","Average")</f>
        <v>Average</v>
      </c>
      <c r="B194" s="9" t="str">
        <f>IF(Student_Data!N194&lt;70,"Low","OK")</f>
        <v>Low</v>
      </c>
      <c r="C194" s="9" t="str">
        <f>IF(OR(Student_Data!G194&lt;40,Student_Data!H194&lt;40,Student_Data!I194&lt;40,Student_Data!J194&lt;40,Student_Data!K194&lt;40),"Fail","Pass")</f>
        <v>Pass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 t="str">
        <f>IF(Student_Data!M195&gt;85,"Topper","Average")</f>
        <v>Average</v>
      </c>
      <c r="B195" s="9" t="str">
        <f>IF(Student_Data!N195&lt;70,"Low","OK")</f>
        <v>OK</v>
      </c>
      <c r="C195" s="9" t="str">
        <f>IF(OR(Student_Data!G195&lt;40,Student_Data!H195&lt;40,Student_Data!I195&lt;40,Student_Data!J195&lt;40,Student_Data!K195&lt;40),"Fail","Pass")</f>
        <v>Pass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 t="str">
        <f>IF(Student_Data!M196&gt;85,"Topper","Average")</f>
        <v>Average</v>
      </c>
      <c r="B196" s="9" t="str">
        <f>IF(Student_Data!N196&lt;70,"Low","OK")</f>
        <v>Low</v>
      </c>
      <c r="C196" s="9" t="str">
        <f>IF(OR(Student_Data!G196&lt;40,Student_Data!H196&lt;40,Student_Data!I196&lt;40,Student_Data!J196&lt;40,Student_Data!K196&lt;40),"Fail","Pass")</f>
        <v>Pass</v>
      </c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 t="str">
        <f>IF(Student_Data!M197&gt;85,"Topper","Average")</f>
        <v>Average</v>
      </c>
      <c r="B197" s="9" t="str">
        <f>IF(Student_Data!N197&lt;70,"Low","OK")</f>
        <v>Low</v>
      </c>
      <c r="C197" s="9" t="str">
        <f>IF(OR(Student_Data!G197&lt;40,Student_Data!H197&lt;40,Student_Data!I197&lt;40,Student_Data!J197&lt;40,Student_Data!K197&lt;40),"Fail","Pass")</f>
        <v>Pass</v>
      </c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 t="str">
        <f>IF(Student_Data!M198&gt;85,"Topper","Average")</f>
        <v>Average</v>
      </c>
      <c r="B198" s="9" t="str">
        <f>IF(Student_Data!N198&lt;70,"Low","OK")</f>
        <v>OK</v>
      </c>
      <c r="C198" s="9" t="str">
        <f>IF(OR(Student_Data!G198&lt;40,Student_Data!H198&lt;40,Student_Data!I198&lt;40,Student_Data!J198&lt;40,Student_Data!K198&lt;40),"Fail","Pass")</f>
        <v>Pass</v>
      </c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 t="str">
        <f>IF(Student_Data!M199&gt;85,"Topper","Average")</f>
        <v>Average</v>
      </c>
      <c r="B199" s="9" t="str">
        <f>IF(Student_Data!N199&lt;70,"Low","OK")</f>
        <v>OK</v>
      </c>
      <c r="C199" s="9" t="str">
        <f>IF(OR(Student_Data!G199&lt;40,Student_Data!H199&lt;40,Student_Data!I199&lt;40,Student_Data!J199&lt;40,Student_Data!K199&lt;40),"Fail","Pass")</f>
        <v>Pass</v>
      </c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 t="str">
        <f>IF(Student_Data!M200&gt;85,"Topper","Average")</f>
        <v>Average</v>
      </c>
      <c r="B200" s="9" t="str">
        <f>IF(Student_Data!N200&lt;70,"Low","OK")</f>
        <v>Low</v>
      </c>
      <c r="C200" s="9" t="str">
        <f>IF(OR(Student_Data!G200&lt;40,Student_Data!H200&lt;40,Student_Data!I200&lt;40,Student_Data!J200&lt;40,Student_Data!K200&lt;40),"Fail","Pass")</f>
        <v>Pass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 t="str">
        <f>IF(Student_Data!M201&gt;85,"Topper","Average")</f>
        <v>Average</v>
      </c>
      <c r="B201" s="9" t="str">
        <f>IF(Student_Data!N201&lt;70,"Low","OK")</f>
        <v>OK</v>
      </c>
      <c r="C201" s="9" t="str">
        <f>IF(OR(Student_Data!G201&lt;40,Student_Data!H201&lt;40,Student_Data!I201&lt;40,Student_Data!J201&lt;40,Student_Data!K201&lt;40),"Fail","Pass")</f>
        <v>Pass</v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 t="str">
        <f>IF(Student_Data!M202&gt;85,"Topper","Average")</f>
        <v>Average</v>
      </c>
      <c r="B202" s="9" t="str">
        <f>IF(Student_Data!N202&lt;70,"Low","OK")</f>
        <v>Low</v>
      </c>
      <c r="C202" s="9" t="str">
        <f>IF(OR(Student_Data!G202&lt;40,Student_Data!H202&lt;40,Student_Data!I202&lt;40,Student_Data!J202&lt;40,Student_Data!K202&lt;40),"Fail","Pass")</f>
        <v>Pass</v>
      </c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 t="str">
        <f>IF(Student_Data!M203&gt;85,"Topper","Average")</f>
        <v>Average</v>
      </c>
      <c r="B203" s="9" t="str">
        <f>IF(Student_Data!N203&lt;70,"Low","OK")</f>
        <v>OK</v>
      </c>
      <c r="C203" s="9" t="str">
        <f>IF(OR(Student_Data!G203&lt;40,Student_Data!H203&lt;40,Student_Data!I203&lt;40,Student_Data!J203&lt;40,Student_Data!K203&lt;40),"Fail","Pass")</f>
        <v>Pass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 t="str">
        <f>IF(Student_Data!M204&gt;85,"Topper","Average")</f>
        <v>Average</v>
      </c>
      <c r="B204" s="9" t="str">
        <f>IF(Student_Data!N204&lt;70,"Low","OK")</f>
        <v>OK</v>
      </c>
      <c r="C204" s="9" t="str">
        <f>IF(OR(Student_Data!G204&lt;40,Student_Data!H204&lt;40,Student_Data!I204&lt;40,Student_Data!J204&lt;40,Student_Data!K204&lt;40),"Fail","Pass")</f>
        <v>Pass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 t="str">
        <f>IF(Student_Data!M205&gt;85,"Topper","Average")</f>
        <v>Average</v>
      </c>
      <c r="B205" s="9" t="str">
        <f>IF(Student_Data!N205&lt;70,"Low","OK")</f>
        <v>Low</v>
      </c>
      <c r="C205" s="9" t="str">
        <f>IF(OR(Student_Data!G205&lt;40,Student_Data!H205&lt;40,Student_Data!I205&lt;40,Student_Data!J205&lt;40,Student_Data!K205&lt;40),"Fail","Pass")</f>
        <v>Pass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 t="str">
        <f>IF(Student_Data!M206&gt;85,"Topper","Average")</f>
        <v>Average</v>
      </c>
      <c r="B206" s="9" t="str">
        <f>IF(Student_Data!N206&lt;70,"Low","OK")</f>
        <v>OK</v>
      </c>
      <c r="C206" s="9" t="str">
        <f>IF(OR(Student_Data!G206&lt;40,Student_Data!H206&lt;40,Student_Data!I206&lt;40,Student_Data!J206&lt;40,Student_Data!K206&lt;40),"Fail","Pass")</f>
        <v>Pass</v>
      </c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 t="str">
        <f>IF(Student_Data!M207&gt;85,"Topper","Average")</f>
        <v>Average</v>
      </c>
      <c r="B207" s="9" t="str">
        <f>IF(Student_Data!N207&lt;70,"Low","OK")</f>
        <v>OK</v>
      </c>
      <c r="C207" s="9" t="str">
        <f>IF(OR(Student_Data!G207&lt;40,Student_Data!H207&lt;40,Student_Data!I207&lt;40,Student_Data!J207&lt;40,Student_Data!K207&lt;40),"Fail","Pass")</f>
        <v>Pass</v>
      </c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 t="str">
        <f>IF(Student_Data!M208&gt;85,"Topper","Average")</f>
        <v>Average</v>
      </c>
      <c r="B208" s="9" t="str">
        <f>IF(Student_Data!N208&lt;70,"Low","OK")</f>
        <v>OK</v>
      </c>
      <c r="C208" s="9" t="str">
        <f>IF(OR(Student_Data!G208&lt;40,Student_Data!H208&lt;40,Student_Data!I208&lt;40,Student_Data!J208&lt;40,Student_Data!K208&lt;40),"Fail","Pass")</f>
        <v>Pass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 t="str">
        <f>IF(Student_Data!M209&gt;85,"Topper","Average")</f>
        <v>Average</v>
      </c>
      <c r="B209" s="9" t="str">
        <f>IF(Student_Data!N209&lt;70,"Low","OK")</f>
        <v>Low</v>
      </c>
      <c r="C209" s="9" t="str">
        <f>IF(OR(Student_Data!G209&lt;40,Student_Data!H209&lt;40,Student_Data!I209&lt;40,Student_Data!J209&lt;40,Student_Data!K209&lt;40),"Fail","Pass")</f>
        <v>Pass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 t="str">
        <f>IF(Student_Data!M210&gt;85,"Topper","Average")</f>
        <v>Average</v>
      </c>
      <c r="B210" s="9" t="str">
        <f>IF(Student_Data!N210&lt;70,"Low","OK")</f>
        <v>OK</v>
      </c>
      <c r="C210" s="9" t="str">
        <f>IF(OR(Student_Data!G210&lt;40,Student_Data!H210&lt;40,Student_Data!I210&lt;40,Student_Data!J210&lt;40,Student_Data!K210&lt;40),"Fail","Pass")</f>
        <v>Pass</v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 t="str">
        <f>IF(Student_Data!M211&gt;85,"Topper","Average")</f>
        <v>Average</v>
      </c>
      <c r="B211" s="9" t="str">
        <f>IF(Student_Data!N211&lt;70,"Low","OK")</f>
        <v>Low</v>
      </c>
      <c r="C211" s="9" t="str">
        <f>IF(OR(Student_Data!G211&lt;40,Student_Data!H211&lt;40,Student_Data!I211&lt;40,Student_Data!J211&lt;40,Student_Data!K211&lt;40),"Fail","Pass")</f>
        <v>Pass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 t="str">
        <f>IF(Student_Data!M212&gt;85,"Topper","Average")</f>
        <v>Average</v>
      </c>
      <c r="B212" s="9" t="str">
        <f>IF(Student_Data!N212&lt;70,"Low","OK")</f>
        <v>Low</v>
      </c>
      <c r="C212" s="9" t="str">
        <f>IF(OR(Student_Data!G212&lt;40,Student_Data!H212&lt;40,Student_Data!I212&lt;40,Student_Data!J212&lt;40,Student_Data!K212&lt;40),"Fail","Pass")</f>
        <v>Pass</v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 t="str">
        <f>IF(Student_Data!M213&gt;85,"Topper","Average")</f>
        <v>Average</v>
      </c>
      <c r="B213" s="9" t="str">
        <f>IF(Student_Data!N213&lt;70,"Low","OK")</f>
        <v>OK</v>
      </c>
      <c r="C213" s="9" t="str">
        <f>IF(OR(Student_Data!G213&lt;40,Student_Data!H213&lt;40,Student_Data!I213&lt;40,Student_Data!J213&lt;40,Student_Data!K213&lt;40),"Fail","Pass")</f>
        <v>Pass</v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 t="str">
        <f>IF(Student_Data!M214&gt;85,"Topper","Average")</f>
        <v>Average</v>
      </c>
      <c r="B214" s="9" t="str">
        <f>IF(Student_Data!N214&lt;70,"Low","OK")</f>
        <v>OK</v>
      </c>
      <c r="C214" s="9" t="str">
        <f>IF(OR(Student_Data!G214&lt;40,Student_Data!H214&lt;40,Student_Data!I214&lt;40,Student_Data!J214&lt;40,Student_Data!K214&lt;40),"Fail","Pass")</f>
        <v>Pass</v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 t="str">
        <f>IF(Student_Data!M215&gt;85,"Topper","Average")</f>
        <v>Average</v>
      </c>
      <c r="B215" s="9" t="str">
        <f>IF(Student_Data!N215&lt;70,"Low","OK")</f>
        <v>OK</v>
      </c>
      <c r="C215" s="9" t="str">
        <f>IF(OR(Student_Data!G215&lt;40,Student_Data!H215&lt;40,Student_Data!I215&lt;40,Student_Data!J215&lt;40,Student_Data!K215&lt;40),"Fail","Pass")</f>
        <v>Pass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 t="str">
        <f>IF(Student_Data!M216&gt;85,"Topper","Average")</f>
        <v>Average</v>
      </c>
      <c r="B216" s="9" t="str">
        <f>IF(Student_Data!N216&lt;70,"Low","OK")</f>
        <v>Low</v>
      </c>
      <c r="C216" s="9" t="str">
        <f>IF(OR(Student_Data!G216&lt;40,Student_Data!H216&lt;40,Student_Data!I216&lt;40,Student_Data!J216&lt;40,Student_Data!K216&lt;40),"Fail","Pass")</f>
        <v>Pass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 t="str">
        <f>IF(Student_Data!M217&gt;85,"Topper","Average")</f>
        <v>Average</v>
      </c>
      <c r="B217" s="9" t="str">
        <f>IF(Student_Data!N217&lt;70,"Low","OK")</f>
        <v>OK</v>
      </c>
      <c r="C217" s="9" t="str">
        <f>IF(OR(Student_Data!G217&lt;40,Student_Data!H217&lt;40,Student_Data!I217&lt;40,Student_Data!J217&lt;40,Student_Data!K217&lt;40),"Fail","Pass")</f>
        <v>Pass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 t="str">
        <f>IF(Student_Data!M218&gt;85,"Topper","Average")</f>
        <v>Average</v>
      </c>
      <c r="B218" s="9" t="str">
        <f>IF(Student_Data!N218&lt;70,"Low","OK")</f>
        <v>OK</v>
      </c>
      <c r="C218" s="9" t="str">
        <f>IF(OR(Student_Data!G218&lt;40,Student_Data!H218&lt;40,Student_Data!I218&lt;40,Student_Data!J218&lt;40,Student_Data!K218&lt;40),"Fail","Pass")</f>
        <v>Pass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 t="str">
        <f>IF(Student_Data!M219&gt;85,"Topper","Average")</f>
        <v>Average</v>
      </c>
      <c r="B219" s="9" t="str">
        <f>IF(Student_Data!N219&lt;70,"Low","OK")</f>
        <v>Low</v>
      </c>
      <c r="C219" s="9" t="str">
        <f>IF(OR(Student_Data!G219&lt;40,Student_Data!H219&lt;40,Student_Data!I219&lt;40,Student_Data!J219&lt;40,Student_Data!K219&lt;40),"Fail","Pass")</f>
        <v>Pass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 t="str">
        <f>IF(Student_Data!M220&gt;85,"Topper","Average")</f>
        <v>Average</v>
      </c>
      <c r="B220" s="9" t="str">
        <f>IF(Student_Data!N220&lt;70,"Low","OK")</f>
        <v>Low</v>
      </c>
      <c r="C220" s="9" t="str">
        <f>IF(OR(Student_Data!G220&lt;40,Student_Data!H220&lt;40,Student_Data!I220&lt;40,Student_Data!J220&lt;40,Student_Data!K220&lt;40),"Fail","Pass")</f>
        <v>Pass</v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 t="str">
        <f>IF(Student_Data!M221&gt;85,"Topper","Average")</f>
        <v>Average</v>
      </c>
      <c r="B221" s="9" t="str">
        <f>IF(Student_Data!N221&lt;70,"Low","OK")</f>
        <v>Low</v>
      </c>
      <c r="C221" s="9" t="str">
        <f>IF(OR(Student_Data!G221&lt;40,Student_Data!H221&lt;40,Student_Data!I221&lt;40,Student_Data!J221&lt;40,Student_Data!K221&lt;40),"Fail","Pass")</f>
        <v>Pass</v>
      </c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 t="str">
        <f>IF(Student_Data!M222&gt;85,"Topper","Average")</f>
        <v>Average</v>
      </c>
      <c r="B222" s="9" t="str">
        <f>IF(Student_Data!N222&lt;70,"Low","OK")</f>
        <v>OK</v>
      </c>
      <c r="C222" s="9" t="str">
        <f>IF(OR(Student_Data!G222&lt;40,Student_Data!H222&lt;40,Student_Data!I222&lt;40,Student_Data!J222&lt;40,Student_Data!K222&lt;40),"Fail","Pass")</f>
        <v>Pass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 t="str">
        <f>IF(Student_Data!M223&gt;85,"Topper","Average")</f>
        <v>Average</v>
      </c>
      <c r="B223" s="9" t="str">
        <f>IF(Student_Data!N223&lt;70,"Low","OK")</f>
        <v>OK</v>
      </c>
      <c r="C223" s="9" t="str">
        <f>IF(OR(Student_Data!G223&lt;40,Student_Data!H223&lt;40,Student_Data!I223&lt;40,Student_Data!J223&lt;40,Student_Data!K223&lt;40),"Fail","Pass")</f>
        <v>Pass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 t="str">
        <f>IF(Student_Data!M224&gt;85,"Topper","Average")</f>
        <v>Average</v>
      </c>
      <c r="B224" s="9" t="str">
        <f>IF(Student_Data!N224&lt;70,"Low","OK")</f>
        <v>OK</v>
      </c>
      <c r="C224" s="9" t="str">
        <f>IF(OR(Student_Data!G224&lt;40,Student_Data!H224&lt;40,Student_Data!I224&lt;40,Student_Data!J224&lt;40,Student_Data!K224&lt;40),"Fail","Pass")</f>
        <v>Pass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 t="str">
        <f>IF(Student_Data!M225&gt;85,"Topper","Average")</f>
        <v>Average</v>
      </c>
      <c r="B225" s="9" t="str">
        <f>IF(Student_Data!N225&lt;70,"Low","OK")</f>
        <v>Low</v>
      </c>
      <c r="C225" s="9" t="str">
        <f>IF(OR(Student_Data!G225&lt;40,Student_Data!H225&lt;40,Student_Data!I225&lt;40,Student_Data!J225&lt;40,Student_Data!K225&lt;40),"Fail","Pass")</f>
        <v>Pass</v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 t="str">
        <f>IF(Student_Data!M226&gt;85,"Topper","Average")</f>
        <v>Average</v>
      </c>
      <c r="B226" s="9" t="str">
        <f>IF(Student_Data!N226&lt;70,"Low","OK")</f>
        <v>OK</v>
      </c>
      <c r="C226" s="9" t="str">
        <f>IF(OR(Student_Data!G226&lt;40,Student_Data!H226&lt;40,Student_Data!I226&lt;40,Student_Data!J226&lt;40,Student_Data!K226&lt;40),"Fail","Pass")</f>
        <v>Pass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 t="str">
        <f>IF(Student_Data!M227&gt;85,"Topper","Average")</f>
        <v>Average</v>
      </c>
      <c r="B227" s="9" t="str">
        <f>IF(Student_Data!N227&lt;70,"Low","OK")</f>
        <v>OK</v>
      </c>
      <c r="C227" s="9" t="str">
        <f>IF(OR(Student_Data!G227&lt;40,Student_Data!H227&lt;40,Student_Data!I227&lt;40,Student_Data!J227&lt;40,Student_Data!K227&lt;40),"Fail","Pass")</f>
        <v>Pass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 t="str">
        <f>IF(Student_Data!M228&gt;85,"Topper","Average")</f>
        <v>Average</v>
      </c>
      <c r="B228" s="9" t="str">
        <f>IF(Student_Data!N228&lt;70,"Low","OK")</f>
        <v>Low</v>
      </c>
      <c r="C228" s="9" t="str">
        <f>IF(OR(Student_Data!G228&lt;40,Student_Data!H228&lt;40,Student_Data!I228&lt;40,Student_Data!J228&lt;40,Student_Data!K228&lt;40),"Fail","Pass")</f>
        <v>Pass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 t="str">
        <f>IF(Student_Data!M229&gt;85,"Topper","Average")</f>
        <v>Average</v>
      </c>
      <c r="B229" s="9" t="str">
        <f>IF(Student_Data!N229&lt;70,"Low","OK")</f>
        <v>OK</v>
      </c>
      <c r="C229" s="9" t="str">
        <f>IF(OR(Student_Data!G229&lt;40,Student_Data!H229&lt;40,Student_Data!I229&lt;40,Student_Data!J229&lt;40,Student_Data!K229&lt;40),"Fail","Pass")</f>
        <v>Pass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 t="str">
        <f>IF(Student_Data!M230&gt;85,"Topper","Average")</f>
        <v>Average</v>
      </c>
      <c r="B230" s="9" t="str">
        <f>IF(Student_Data!N230&lt;70,"Low","OK")</f>
        <v>OK</v>
      </c>
      <c r="C230" s="9" t="str">
        <f>IF(OR(Student_Data!G230&lt;40,Student_Data!H230&lt;40,Student_Data!I230&lt;40,Student_Data!J230&lt;40,Student_Data!K230&lt;40),"Fail","Pass")</f>
        <v>Pass</v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 t="str">
        <f>IF(Student_Data!M231&gt;85,"Topper","Average")</f>
        <v>Average</v>
      </c>
      <c r="B231" s="9" t="str">
        <f>IF(Student_Data!N231&lt;70,"Low","OK")</f>
        <v>OK</v>
      </c>
      <c r="C231" s="9" t="str">
        <f>IF(OR(Student_Data!G231&lt;40,Student_Data!H231&lt;40,Student_Data!I231&lt;40,Student_Data!J231&lt;40,Student_Data!K231&lt;40),"Fail","Pass")</f>
        <v>Pass</v>
      </c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 t="str">
        <f>IF(Student_Data!M232&gt;85,"Topper","Average")</f>
        <v>Average</v>
      </c>
      <c r="B232" s="9" t="str">
        <f>IF(Student_Data!N232&lt;70,"Low","OK")</f>
        <v>OK</v>
      </c>
      <c r="C232" s="9" t="str">
        <f>IF(OR(Student_Data!G232&lt;40,Student_Data!H232&lt;40,Student_Data!I232&lt;40,Student_Data!J232&lt;40,Student_Data!K232&lt;40),"Fail","Pass")</f>
        <v>Pass</v>
      </c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 t="str">
        <f>IF(Student_Data!M233&gt;85,"Topper","Average")</f>
        <v>Topper</v>
      </c>
      <c r="B233" s="9" t="str">
        <f>IF(Student_Data!N233&lt;70,"Low","OK")</f>
        <v>Low</v>
      </c>
      <c r="C233" s="9" t="str">
        <f>IF(OR(Student_Data!G233&lt;40,Student_Data!H233&lt;40,Student_Data!I233&lt;40,Student_Data!J233&lt;40,Student_Data!K233&lt;40),"Fail","Pass")</f>
        <v>Pass</v>
      </c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 t="str">
        <f>IF(Student_Data!M234&gt;85,"Topper","Average")</f>
        <v>Average</v>
      </c>
      <c r="B234" s="9" t="str">
        <f>IF(Student_Data!N234&lt;70,"Low","OK")</f>
        <v>OK</v>
      </c>
      <c r="C234" s="9" t="str">
        <f>IF(OR(Student_Data!G234&lt;40,Student_Data!H234&lt;40,Student_Data!I234&lt;40,Student_Data!J234&lt;40,Student_Data!K234&lt;40),"Fail","Pass")</f>
        <v>Pass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 t="str">
        <f>IF(Student_Data!M235&gt;85,"Topper","Average")</f>
        <v>Average</v>
      </c>
      <c r="B235" s="9" t="str">
        <f>IF(Student_Data!N235&lt;70,"Low","OK")</f>
        <v>OK</v>
      </c>
      <c r="C235" s="9" t="str">
        <f>IF(OR(Student_Data!G235&lt;40,Student_Data!H235&lt;40,Student_Data!I235&lt;40,Student_Data!J235&lt;40,Student_Data!K235&lt;40),"Fail","Pass")</f>
        <v>Pass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 t="str">
        <f>IF(Student_Data!M236&gt;85,"Topper","Average")</f>
        <v>Average</v>
      </c>
      <c r="B236" s="9" t="str">
        <f>IF(Student_Data!N236&lt;70,"Low","OK")</f>
        <v>OK</v>
      </c>
      <c r="C236" s="9" t="str">
        <f>IF(OR(Student_Data!G236&lt;40,Student_Data!H236&lt;40,Student_Data!I236&lt;40,Student_Data!J236&lt;40,Student_Data!K236&lt;40),"Fail","Pass")</f>
        <v>Pass</v>
      </c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 t="str">
        <f>IF(Student_Data!M237&gt;85,"Topper","Average")</f>
        <v>Average</v>
      </c>
      <c r="B237" s="9" t="str">
        <f>IF(Student_Data!N237&lt;70,"Low","OK")</f>
        <v>OK</v>
      </c>
      <c r="C237" s="9" t="str">
        <f>IF(OR(Student_Data!G237&lt;40,Student_Data!H237&lt;40,Student_Data!I237&lt;40,Student_Data!J237&lt;40,Student_Data!K237&lt;40),"Fail","Pass")</f>
        <v>Pass</v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 t="str">
        <f>IF(Student_Data!M238&gt;85,"Topper","Average")</f>
        <v>Average</v>
      </c>
      <c r="B238" s="9" t="str">
        <f>IF(Student_Data!N238&lt;70,"Low","OK")</f>
        <v>OK</v>
      </c>
      <c r="C238" s="9" t="str">
        <f>IF(OR(Student_Data!G238&lt;40,Student_Data!H238&lt;40,Student_Data!I238&lt;40,Student_Data!J238&lt;40,Student_Data!K238&lt;40),"Fail","Pass")</f>
        <v>Pass</v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 t="str">
        <f>IF(Student_Data!M239&gt;85,"Topper","Average")</f>
        <v>Average</v>
      </c>
      <c r="B239" s="9" t="str">
        <f>IF(Student_Data!N239&lt;70,"Low","OK")</f>
        <v>OK</v>
      </c>
      <c r="C239" s="9" t="str">
        <f>IF(OR(Student_Data!G239&lt;40,Student_Data!H239&lt;40,Student_Data!I239&lt;40,Student_Data!J239&lt;40,Student_Data!K239&lt;40),"Fail","Pass")</f>
        <v>Pass</v>
      </c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 t="str">
        <f>IF(Student_Data!M240&gt;85,"Topper","Average")</f>
        <v>Average</v>
      </c>
      <c r="B240" s="9" t="str">
        <f>IF(Student_Data!N240&lt;70,"Low","OK")</f>
        <v>OK</v>
      </c>
      <c r="C240" s="9" t="str">
        <f>IF(OR(Student_Data!G240&lt;40,Student_Data!H240&lt;40,Student_Data!I240&lt;40,Student_Data!J240&lt;40,Student_Data!K240&lt;40),"Fail","Pass")</f>
        <v>Pass</v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 t="str">
        <f>IF(Student_Data!M241&gt;85,"Topper","Average")</f>
        <v>Average</v>
      </c>
      <c r="B241" s="9" t="str">
        <f>IF(Student_Data!N241&lt;70,"Low","OK")</f>
        <v>OK</v>
      </c>
      <c r="C241" s="9" t="str">
        <f>IF(OR(Student_Data!G241&lt;40,Student_Data!H241&lt;40,Student_Data!I241&lt;40,Student_Data!J241&lt;40,Student_Data!K241&lt;40),"Fail","Pass")</f>
        <v>Pass</v>
      </c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 t="str">
        <f>IF(Student_Data!M242&gt;85,"Topper","Average")</f>
        <v>Average</v>
      </c>
      <c r="B242" s="9" t="str">
        <f>IF(Student_Data!N242&lt;70,"Low","OK")</f>
        <v>OK</v>
      </c>
      <c r="C242" s="9" t="str">
        <f>IF(OR(Student_Data!G242&lt;40,Student_Data!H242&lt;40,Student_Data!I242&lt;40,Student_Data!J242&lt;40,Student_Data!K242&lt;40),"Fail","Pass")</f>
        <v>Pass</v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 t="str">
        <f>IF(Student_Data!M243&gt;85,"Topper","Average")</f>
        <v>Average</v>
      </c>
      <c r="B243" s="9" t="str">
        <f>IF(Student_Data!N243&lt;70,"Low","OK")</f>
        <v>OK</v>
      </c>
      <c r="C243" s="9" t="str">
        <f>IF(OR(Student_Data!G243&lt;40,Student_Data!H243&lt;40,Student_Data!I243&lt;40,Student_Data!J243&lt;40,Student_Data!K243&lt;40),"Fail","Pass")</f>
        <v>Pass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 t="str">
        <f>IF(Student_Data!M244&gt;85,"Topper","Average")</f>
        <v>Average</v>
      </c>
      <c r="B244" s="9" t="str">
        <f>IF(Student_Data!N244&lt;70,"Low","OK")</f>
        <v>OK</v>
      </c>
      <c r="C244" s="9" t="str">
        <f>IF(OR(Student_Data!G244&lt;40,Student_Data!H244&lt;40,Student_Data!I244&lt;40,Student_Data!J244&lt;40,Student_Data!K244&lt;40),"Fail","Pass")</f>
        <v>Pass</v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 t="str">
        <f>IF(Student_Data!M245&gt;85,"Topper","Average")</f>
        <v>Average</v>
      </c>
      <c r="B245" s="9" t="str">
        <f>IF(Student_Data!N245&lt;70,"Low","OK")</f>
        <v>OK</v>
      </c>
      <c r="C245" s="9" t="str">
        <f>IF(OR(Student_Data!G245&lt;40,Student_Data!H245&lt;40,Student_Data!I245&lt;40,Student_Data!J245&lt;40,Student_Data!K245&lt;40),"Fail","Pass")</f>
        <v>Pass</v>
      </c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 t="str">
        <f>IF(Student_Data!M246&gt;85,"Topper","Average")</f>
        <v>Average</v>
      </c>
      <c r="B246" s="9" t="str">
        <f>IF(Student_Data!N246&lt;70,"Low","OK")</f>
        <v>OK</v>
      </c>
      <c r="C246" s="9" t="str">
        <f>IF(OR(Student_Data!G246&lt;40,Student_Data!H246&lt;40,Student_Data!I246&lt;40,Student_Data!J246&lt;40,Student_Data!K246&lt;40),"Fail","Pass")</f>
        <v>Pass</v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 t="str">
        <f>IF(Student_Data!M247&gt;85,"Topper","Average")</f>
        <v>Average</v>
      </c>
      <c r="B247" s="9" t="str">
        <f>IF(Student_Data!N247&lt;70,"Low","OK")</f>
        <v>OK</v>
      </c>
      <c r="C247" s="9" t="str">
        <f>IF(OR(Student_Data!G247&lt;40,Student_Data!H247&lt;40,Student_Data!I247&lt;40,Student_Data!J247&lt;40,Student_Data!K247&lt;40),"Fail","Pass")</f>
        <v>Pass</v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 t="str">
        <f>IF(Student_Data!M248&gt;85,"Topper","Average")</f>
        <v>Average</v>
      </c>
      <c r="B248" s="9" t="str">
        <f>IF(Student_Data!N248&lt;70,"Low","OK")</f>
        <v>Low</v>
      </c>
      <c r="C248" s="9" t="str">
        <f>IF(OR(Student_Data!G248&lt;40,Student_Data!H248&lt;40,Student_Data!I248&lt;40,Student_Data!J248&lt;40,Student_Data!K248&lt;40),"Fail","Pass")</f>
        <v>Pass</v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 t="str">
        <f>IF(Student_Data!M249&gt;85,"Topper","Average")</f>
        <v>Average</v>
      </c>
      <c r="B249" s="9" t="str">
        <f>IF(Student_Data!N249&lt;70,"Low","OK")</f>
        <v>OK</v>
      </c>
      <c r="C249" s="9" t="str">
        <f>IF(OR(Student_Data!G249&lt;40,Student_Data!H249&lt;40,Student_Data!I249&lt;40,Student_Data!J249&lt;40,Student_Data!K249&lt;40),"Fail","Pass")</f>
        <v>Pass</v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 t="str">
        <f>IF(Student_Data!M250&gt;85,"Topper","Average")</f>
        <v>Average</v>
      </c>
      <c r="B250" s="9" t="str">
        <f>IF(Student_Data!N250&lt;70,"Low","OK")</f>
        <v>OK</v>
      </c>
      <c r="C250" s="9" t="str">
        <f>IF(OR(Student_Data!G250&lt;40,Student_Data!H250&lt;40,Student_Data!I250&lt;40,Student_Data!J250&lt;40,Student_Data!K250&lt;40),"Fail","Pass")</f>
        <v>Pass</v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 t="str">
        <f>IF(Student_Data!M251&gt;85,"Topper","Average")</f>
        <v>Average</v>
      </c>
      <c r="B251" s="9" t="str">
        <f>IF(Student_Data!N251&lt;70,"Low","OK")</f>
        <v>OK</v>
      </c>
      <c r="C251" s="9" t="str">
        <f>IF(OR(Student_Data!G251&lt;40,Student_Data!H251&lt;40,Student_Data!I251&lt;40,Student_Data!J251&lt;40,Student_Data!K251&lt;40),"Fail","Pass")</f>
        <v>Pass</v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 t="str">
        <f>IF(Student_Data!M252&gt;85,"Topper","Average")</f>
        <v>Average</v>
      </c>
      <c r="B252" s="9" t="str">
        <f>IF(Student_Data!N252&lt;70,"Low","OK")</f>
        <v>Low</v>
      </c>
      <c r="C252" s="9" t="str">
        <f>IF(OR(Student_Data!G252&lt;40,Student_Data!H252&lt;40,Student_Data!I252&lt;40,Student_Data!J252&lt;40,Student_Data!K252&lt;40),"Fail","Pass")</f>
        <v>Pass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 t="str">
        <f>IF(Student_Data!M253&gt;85,"Topper","Average")</f>
        <v>Average</v>
      </c>
      <c r="B253" s="9" t="str">
        <f>IF(Student_Data!N253&lt;70,"Low","OK")</f>
        <v>OK</v>
      </c>
      <c r="C253" s="9" t="str">
        <f>IF(OR(Student_Data!G253&lt;40,Student_Data!H253&lt;40,Student_Data!I253&lt;40,Student_Data!J253&lt;40,Student_Data!K253&lt;40),"Fail","Pass")</f>
        <v>Pass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 t="str">
        <f>IF(Student_Data!M254&gt;85,"Topper","Average")</f>
        <v>Average</v>
      </c>
      <c r="B254" s="9" t="str">
        <f>IF(Student_Data!N254&lt;70,"Low","OK")</f>
        <v>OK</v>
      </c>
      <c r="C254" s="9" t="str">
        <f>IF(OR(Student_Data!G254&lt;40,Student_Data!H254&lt;40,Student_Data!I254&lt;40,Student_Data!J254&lt;40,Student_Data!K254&lt;40),"Fail","Pass")</f>
        <v>Pass</v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 t="str">
        <f>IF(Student_Data!M255&gt;85,"Topper","Average")</f>
        <v>Average</v>
      </c>
      <c r="B255" s="9" t="str">
        <f>IF(Student_Data!N255&lt;70,"Low","OK")</f>
        <v>OK</v>
      </c>
      <c r="C255" s="9" t="str">
        <f>IF(OR(Student_Data!G255&lt;40,Student_Data!H255&lt;40,Student_Data!I255&lt;40,Student_Data!J255&lt;40,Student_Data!K255&lt;40),"Fail","Pass")</f>
        <v>Pass</v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 t="str">
        <f>IF(Student_Data!M256&gt;85,"Topper","Average")</f>
        <v>Average</v>
      </c>
      <c r="B256" s="9" t="str">
        <f>IF(Student_Data!N256&lt;70,"Low","OK")</f>
        <v>Low</v>
      </c>
      <c r="C256" s="9" t="str">
        <f>IF(OR(Student_Data!G256&lt;40,Student_Data!H256&lt;40,Student_Data!I256&lt;40,Student_Data!J256&lt;40,Student_Data!K256&lt;40),"Fail","Pass")</f>
        <v>Pass</v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 t="str">
        <f>IF(Student_Data!M257&gt;85,"Topper","Average")</f>
        <v>Average</v>
      </c>
      <c r="B257" s="9" t="str">
        <f>IF(Student_Data!N257&lt;70,"Low","OK")</f>
        <v>OK</v>
      </c>
      <c r="C257" s="9" t="str">
        <f>IF(OR(Student_Data!G257&lt;40,Student_Data!H257&lt;40,Student_Data!I257&lt;40,Student_Data!J257&lt;40,Student_Data!K257&lt;40),"Fail","Pass")</f>
        <v>Pass</v>
      </c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 t="str">
        <f>IF(Student_Data!M258&gt;85,"Topper","Average")</f>
        <v>Average</v>
      </c>
      <c r="B258" s="9" t="str">
        <f>IF(Student_Data!N258&lt;70,"Low","OK")</f>
        <v>OK</v>
      </c>
      <c r="C258" s="9" t="str">
        <f>IF(OR(Student_Data!G258&lt;40,Student_Data!H258&lt;40,Student_Data!I258&lt;40,Student_Data!J258&lt;40,Student_Data!K258&lt;40),"Fail","Pass")</f>
        <v>Pass</v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 t="str">
        <f>IF(Student_Data!M259&gt;85,"Topper","Average")</f>
        <v>Average</v>
      </c>
      <c r="B259" s="9" t="str">
        <f>IF(Student_Data!N259&lt;70,"Low","OK")</f>
        <v>OK</v>
      </c>
      <c r="C259" s="9" t="str">
        <f>IF(OR(Student_Data!G259&lt;40,Student_Data!H259&lt;40,Student_Data!I259&lt;40,Student_Data!J259&lt;40,Student_Data!K259&lt;40),"Fail","Pass")</f>
        <v>Pass</v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 t="str">
        <f>IF(Student_Data!M260&gt;85,"Topper","Average")</f>
        <v>Average</v>
      </c>
      <c r="B260" s="9" t="str">
        <f>IF(Student_Data!N260&lt;70,"Low","OK")</f>
        <v>OK</v>
      </c>
      <c r="C260" s="9" t="str">
        <f>IF(OR(Student_Data!G260&lt;40,Student_Data!H260&lt;40,Student_Data!I260&lt;40,Student_Data!J260&lt;40,Student_Data!K260&lt;40),"Fail","Pass")</f>
        <v>Pass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 t="str">
        <f>IF(Student_Data!M261&gt;85,"Topper","Average")</f>
        <v>Average</v>
      </c>
      <c r="B261" s="9" t="str">
        <f>IF(Student_Data!N261&lt;70,"Low","OK")</f>
        <v>Low</v>
      </c>
      <c r="C261" s="9" t="str">
        <f>IF(OR(Student_Data!G261&lt;40,Student_Data!H261&lt;40,Student_Data!I261&lt;40,Student_Data!J261&lt;40,Student_Data!K261&lt;40),"Fail","Pass")</f>
        <v>Pass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 t="str">
        <f>IF(Student_Data!M262&gt;85,"Topper","Average")</f>
        <v>Average</v>
      </c>
      <c r="B262" s="9" t="str">
        <f>IF(Student_Data!N262&lt;70,"Low","OK")</f>
        <v>OK</v>
      </c>
      <c r="C262" s="9" t="str">
        <f>IF(OR(Student_Data!G262&lt;40,Student_Data!H262&lt;40,Student_Data!I262&lt;40,Student_Data!J262&lt;40,Student_Data!K262&lt;40),"Fail","Pass")</f>
        <v>Pass</v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 t="str">
        <f>IF(Student_Data!M263&gt;85,"Topper","Average")</f>
        <v>Average</v>
      </c>
      <c r="B263" s="9" t="str">
        <f>IF(Student_Data!N263&lt;70,"Low","OK")</f>
        <v>OK</v>
      </c>
      <c r="C263" s="9" t="str">
        <f>IF(OR(Student_Data!G263&lt;40,Student_Data!H263&lt;40,Student_Data!I263&lt;40,Student_Data!J263&lt;40,Student_Data!K263&lt;40),"Fail","Pass")</f>
        <v>Pass</v>
      </c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 t="str">
        <f>IF(Student_Data!M264&gt;85,"Topper","Average")</f>
        <v>Average</v>
      </c>
      <c r="B264" s="9" t="str">
        <f>IF(Student_Data!N264&lt;70,"Low","OK")</f>
        <v>OK</v>
      </c>
      <c r="C264" s="9" t="str">
        <f>IF(OR(Student_Data!G264&lt;40,Student_Data!H264&lt;40,Student_Data!I264&lt;40,Student_Data!J264&lt;40,Student_Data!K264&lt;40),"Fail","Pass")</f>
        <v>Pass</v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 t="str">
        <f>IF(Student_Data!M265&gt;85,"Topper","Average")</f>
        <v>Average</v>
      </c>
      <c r="B265" s="9" t="str">
        <f>IF(Student_Data!N265&lt;70,"Low","OK")</f>
        <v>OK</v>
      </c>
      <c r="C265" s="9" t="str">
        <f>IF(OR(Student_Data!G265&lt;40,Student_Data!H265&lt;40,Student_Data!I265&lt;40,Student_Data!J265&lt;40,Student_Data!K265&lt;40),"Fail","Pass")</f>
        <v>Pass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 t="str">
        <f>IF(Student_Data!M266&gt;85,"Topper","Average")</f>
        <v>Average</v>
      </c>
      <c r="B266" s="9" t="str">
        <f>IF(Student_Data!N266&lt;70,"Low","OK")</f>
        <v>OK</v>
      </c>
      <c r="C266" s="9" t="str">
        <f>IF(OR(Student_Data!G266&lt;40,Student_Data!H266&lt;40,Student_Data!I266&lt;40,Student_Data!J266&lt;40,Student_Data!K266&lt;40),"Fail","Pass")</f>
        <v>Pass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 t="str">
        <f>IF(Student_Data!M267&gt;85,"Topper","Average")</f>
        <v>Average</v>
      </c>
      <c r="B267" s="9" t="str">
        <f>IF(Student_Data!N267&lt;70,"Low","OK")</f>
        <v>OK</v>
      </c>
      <c r="C267" s="9" t="str">
        <f>IF(OR(Student_Data!G267&lt;40,Student_Data!H267&lt;40,Student_Data!I267&lt;40,Student_Data!J267&lt;40,Student_Data!K267&lt;40),"Fail","Pass")</f>
        <v>Pass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 t="str">
        <f>IF(Student_Data!M268&gt;85,"Topper","Average")</f>
        <v>Average</v>
      </c>
      <c r="B268" s="9" t="str">
        <f>IF(Student_Data!N268&lt;70,"Low","OK")</f>
        <v>OK</v>
      </c>
      <c r="C268" s="9" t="str">
        <f>IF(OR(Student_Data!G268&lt;40,Student_Data!H268&lt;40,Student_Data!I268&lt;40,Student_Data!J268&lt;40,Student_Data!K268&lt;40),"Fail","Pass")</f>
        <v>Pass</v>
      </c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 t="str">
        <f>IF(Student_Data!M269&gt;85,"Topper","Average")</f>
        <v>Average</v>
      </c>
      <c r="B269" s="9" t="str">
        <f>IF(Student_Data!N269&lt;70,"Low","OK")</f>
        <v>OK</v>
      </c>
      <c r="C269" s="9" t="str">
        <f>IF(OR(Student_Data!G269&lt;40,Student_Data!H269&lt;40,Student_Data!I269&lt;40,Student_Data!J269&lt;40,Student_Data!K269&lt;40),"Fail","Pass")</f>
        <v>Pass</v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 t="str">
        <f>IF(Student_Data!M270&gt;85,"Topper","Average")</f>
        <v>Average</v>
      </c>
      <c r="B270" s="9" t="str">
        <f>IF(Student_Data!N270&lt;70,"Low","OK")</f>
        <v>Low</v>
      </c>
      <c r="C270" s="9" t="str">
        <f>IF(OR(Student_Data!G270&lt;40,Student_Data!H270&lt;40,Student_Data!I270&lt;40,Student_Data!J270&lt;40,Student_Data!K270&lt;40),"Fail","Pass")</f>
        <v>Pass</v>
      </c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 t="str">
        <f>IF(Student_Data!M271&gt;85,"Topper","Average")</f>
        <v>Average</v>
      </c>
      <c r="B271" s="9" t="str">
        <f>IF(Student_Data!N271&lt;70,"Low","OK")</f>
        <v>OK</v>
      </c>
      <c r="C271" s="9" t="str">
        <f>IF(OR(Student_Data!G271&lt;40,Student_Data!H271&lt;40,Student_Data!I271&lt;40,Student_Data!J271&lt;40,Student_Data!K271&lt;40),"Fail","Pass")</f>
        <v>Pass</v>
      </c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 t="str">
        <f>IF(Student_Data!M272&gt;85,"Topper","Average")</f>
        <v>Average</v>
      </c>
      <c r="B272" s="9" t="str">
        <f>IF(Student_Data!N272&lt;70,"Low","OK")</f>
        <v>OK</v>
      </c>
      <c r="C272" s="9" t="str">
        <f>IF(OR(Student_Data!G272&lt;40,Student_Data!H272&lt;40,Student_Data!I272&lt;40,Student_Data!J272&lt;40,Student_Data!K272&lt;40),"Fail","Pass")</f>
        <v>Pass</v>
      </c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 t="str">
        <f>IF(Student_Data!M273&gt;85,"Topper","Average")</f>
        <v>Average</v>
      </c>
      <c r="B273" s="9" t="str">
        <f>IF(Student_Data!N273&lt;70,"Low","OK")</f>
        <v>OK</v>
      </c>
      <c r="C273" s="9" t="str">
        <f>IF(OR(Student_Data!G273&lt;40,Student_Data!H273&lt;40,Student_Data!I273&lt;40,Student_Data!J273&lt;40,Student_Data!K273&lt;40),"Fail","Pass")</f>
        <v>Pass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 t="str">
        <f>IF(Student_Data!M274&gt;85,"Topper","Average")</f>
        <v>Average</v>
      </c>
      <c r="B274" s="9" t="str">
        <f>IF(Student_Data!N274&lt;70,"Low","OK")</f>
        <v>OK</v>
      </c>
      <c r="C274" s="9" t="str">
        <f>IF(OR(Student_Data!G274&lt;40,Student_Data!H274&lt;40,Student_Data!I274&lt;40,Student_Data!J274&lt;40,Student_Data!K274&lt;40),"Fail","Pass")</f>
        <v>Pass</v>
      </c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 t="str">
        <f>IF(Student_Data!M275&gt;85,"Topper","Average")</f>
        <v>Average</v>
      </c>
      <c r="B275" s="9" t="str">
        <f>IF(Student_Data!N275&lt;70,"Low","OK")</f>
        <v>OK</v>
      </c>
      <c r="C275" s="9" t="str">
        <f>IF(OR(Student_Data!G275&lt;40,Student_Data!H275&lt;40,Student_Data!I275&lt;40,Student_Data!J275&lt;40,Student_Data!K275&lt;40),"Fail","Pass")</f>
        <v>Pass</v>
      </c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 t="str">
        <f>IF(Student_Data!M276&gt;85,"Topper","Average")</f>
        <v>Average</v>
      </c>
      <c r="B276" s="9" t="str">
        <f>IF(Student_Data!N276&lt;70,"Low","OK")</f>
        <v>OK</v>
      </c>
      <c r="C276" s="9" t="str">
        <f>IF(OR(Student_Data!G276&lt;40,Student_Data!H276&lt;40,Student_Data!I276&lt;40,Student_Data!J276&lt;40,Student_Data!K276&lt;40),"Fail","Pass")</f>
        <v>Pass</v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 t="str">
        <f>IF(Student_Data!M277&gt;85,"Topper","Average")</f>
        <v>Average</v>
      </c>
      <c r="B277" s="9" t="str">
        <f>IF(Student_Data!N277&lt;70,"Low","OK")</f>
        <v>OK</v>
      </c>
      <c r="C277" s="9" t="str">
        <f>IF(OR(Student_Data!G277&lt;40,Student_Data!H277&lt;40,Student_Data!I277&lt;40,Student_Data!J277&lt;40,Student_Data!K277&lt;40),"Fail","Pass")</f>
        <v>Pass</v>
      </c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 t="str">
        <f>IF(Student_Data!M278&gt;85,"Topper","Average")</f>
        <v>Average</v>
      </c>
      <c r="B278" s="9" t="str">
        <f>IF(Student_Data!N278&lt;70,"Low","OK")</f>
        <v>Low</v>
      </c>
      <c r="C278" s="9" t="str">
        <f>IF(OR(Student_Data!G278&lt;40,Student_Data!H278&lt;40,Student_Data!I278&lt;40,Student_Data!J278&lt;40,Student_Data!K278&lt;40),"Fail","Pass")</f>
        <v>Pass</v>
      </c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 t="str">
        <f>IF(Student_Data!M279&gt;85,"Topper","Average")</f>
        <v>Average</v>
      </c>
      <c r="B279" s="9" t="str">
        <f>IF(Student_Data!N279&lt;70,"Low","OK")</f>
        <v>OK</v>
      </c>
      <c r="C279" s="9" t="str">
        <f>IF(OR(Student_Data!G279&lt;40,Student_Data!H279&lt;40,Student_Data!I279&lt;40,Student_Data!J279&lt;40,Student_Data!K279&lt;40),"Fail","Pass")</f>
        <v>Pass</v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 t="str">
        <f>IF(Student_Data!M280&gt;85,"Topper","Average")</f>
        <v>Average</v>
      </c>
      <c r="B280" s="9" t="str">
        <f>IF(Student_Data!N280&lt;70,"Low","OK")</f>
        <v>OK</v>
      </c>
      <c r="C280" s="9" t="str">
        <f>IF(OR(Student_Data!G280&lt;40,Student_Data!H280&lt;40,Student_Data!I280&lt;40,Student_Data!J280&lt;40,Student_Data!K280&lt;40),"Fail","Pass")</f>
        <v>Pass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 t="str">
        <f>IF(Student_Data!M281&gt;85,"Topper","Average")</f>
        <v>Average</v>
      </c>
      <c r="B281" s="9" t="str">
        <f>IF(Student_Data!N281&lt;70,"Low","OK")</f>
        <v>OK</v>
      </c>
      <c r="C281" s="9" t="str">
        <f>IF(OR(Student_Data!G281&lt;40,Student_Data!H281&lt;40,Student_Data!I281&lt;40,Student_Data!J281&lt;40,Student_Data!K281&lt;40),"Fail","Pass")</f>
        <v>Pass</v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 t="str">
        <f>IF(Student_Data!M282&gt;85,"Topper","Average")</f>
        <v>Average</v>
      </c>
      <c r="B282" s="9" t="str">
        <f>IF(Student_Data!N282&lt;70,"Low","OK")</f>
        <v>OK</v>
      </c>
      <c r="C282" s="9" t="str">
        <f>IF(OR(Student_Data!G282&lt;40,Student_Data!H282&lt;40,Student_Data!I282&lt;40,Student_Data!J282&lt;40,Student_Data!K282&lt;40),"Fail","Pass")</f>
        <v>Pass</v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 t="str">
        <f>IF(Student_Data!M283&gt;85,"Topper","Average")</f>
        <v>Average</v>
      </c>
      <c r="B283" s="9" t="str">
        <f>IF(Student_Data!N283&lt;70,"Low","OK")</f>
        <v>OK</v>
      </c>
      <c r="C283" s="9" t="str">
        <f>IF(OR(Student_Data!G283&lt;40,Student_Data!H283&lt;40,Student_Data!I283&lt;40,Student_Data!J283&lt;40,Student_Data!K283&lt;40),"Fail","Pass")</f>
        <v>Pass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 t="str">
        <f>IF(Student_Data!M284&gt;85,"Topper","Average")</f>
        <v>Average</v>
      </c>
      <c r="B284" s="9" t="str">
        <f>IF(Student_Data!N284&lt;70,"Low","OK")</f>
        <v>OK</v>
      </c>
      <c r="C284" s="9" t="str">
        <f>IF(OR(Student_Data!G284&lt;40,Student_Data!H284&lt;40,Student_Data!I284&lt;40,Student_Data!J284&lt;40,Student_Data!K284&lt;40),"Fail","Pass")</f>
        <v>Pass</v>
      </c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 t="str">
        <f>IF(Student_Data!M285&gt;85,"Topper","Average")</f>
        <v>Average</v>
      </c>
      <c r="B285" s="9" t="str">
        <f>IF(Student_Data!N285&lt;70,"Low","OK")</f>
        <v>OK</v>
      </c>
      <c r="C285" s="9" t="str">
        <f>IF(OR(Student_Data!G285&lt;40,Student_Data!H285&lt;40,Student_Data!I285&lt;40,Student_Data!J285&lt;40,Student_Data!K285&lt;40),"Fail","Pass")</f>
        <v>Pass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 t="str">
        <f>IF(Student_Data!M286&gt;85,"Topper","Average")</f>
        <v>Average</v>
      </c>
      <c r="B286" s="9" t="str">
        <f>IF(Student_Data!N286&lt;70,"Low","OK")</f>
        <v>OK</v>
      </c>
      <c r="C286" s="9" t="str">
        <f>IF(OR(Student_Data!G286&lt;40,Student_Data!H286&lt;40,Student_Data!I286&lt;40,Student_Data!J286&lt;40,Student_Data!K286&lt;40),"Fail","Pass")</f>
        <v>Pass</v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 t="str">
        <f>IF(Student_Data!M287&gt;85,"Topper","Average")</f>
        <v>Average</v>
      </c>
      <c r="B287" s="9" t="str">
        <f>IF(Student_Data!N287&lt;70,"Low","OK")</f>
        <v>OK</v>
      </c>
      <c r="C287" s="9" t="str">
        <f>IF(OR(Student_Data!G287&lt;40,Student_Data!H287&lt;40,Student_Data!I287&lt;40,Student_Data!J287&lt;40,Student_Data!K287&lt;40),"Fail","Pass")</f>
        <v>Pass</v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 t="str">
        <f>IF(Student_Data!M288&gt;85,"Topper","Average")</f>
        <v>Average</v>
      </c>
      <c r="B288" s="9" t="str">
        <f>IF(Student_Data!N288&lt;70,"Low","OK")</f>
        <v>OK</v>
      </c>
      <c r="C288" s="9" t="str">
        <f>IF(OR(Student_Data!G288&lt;40,Student_Data!H288&lt;40,Student_Data!I288&lt;40,Student_Data!J288&lt;40,Student_Data!K288&lt;40),"Fail","Pass")</f>
        <v>Pass</v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 t="str">
        <f>IF(Student_Data!M289&gt;85,"Topper","Average")</f>
        <v>Average</v>
      </c>
      <c r="B289" s="9" t="str">
        <f>IF(Student_Data!N289&lt;70,"Low","OK")</f>
        <v>Low</v>
      </c>
      <c r="C289" s="9" t="str">
        <f>IF(OR(Student_Data!G289&lt;40,Student_Data!H289&lt;40,Student_Data!I289&lt;40,Student_Data!J289&lt;40,Student_Data!K289&lt;40),"Fail","Pass")</f>
        <v>Pass</v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 t="str">
        <f>IF(Student_Data!M290&gt;85,"Topper","Average")</f>
        <v>Average</v>
      </c>
      <c r="B290" s="9" t="str">
        <f>IF(Student_Data!N290&lt;70,"Low","OK")</f>
        <v>OK</v>
      </c>
      <c r="C290" s="9" t="str">
        <f>IF(OR(Student_Data!G290&lt;40,Student_Data!H290&lt;40,Student_Data!I290&lt;40,Student_Data!J290&lt;40,Student_Data!K290&lt;40),"Fail","Pass")</f>
        <v>Pass</v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 t="str">
        <f>IF(Student_Data!M291&gt;85,"Topper","Average")</f>
        <v>Average</v>
      </c>
      <c r="B291" s="9" t="str">
        <f>IF(Student_Data!N291&lt;70,"Low","OK")</f>
        <v>OK</v>
      </c>
      <c r="C291" s="9" t="str">
        <f>IF(OR(Student_Data!G291&lt;40,Student_Data!H291&lt;40,Student_Data!I291&lt;40,Student_Data!J291&lt;40,Student_Data!K291&lt;40),"Fail","Pass")</f>
        <v>Pass</v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 t="str">
        <f>IF(Student_Data!M292&gt;85,"Topper","Average")</f>
        <v>Average</v>
      </c>
      <c r="B292" s="9" t="str">
        <f>IF(Student_Data!N292&lt;70,"Low","OK")</f>
        <v>OK</v>
      </c>
      <c r="C292" s="9" t="str">
        <f>IF(OR(Student_Data!G292&lt;40,Student_Data!H292&lt;40,Student_Data!I292&lt;40,Student_Data!J292&lt;40,Student_Data!K292&lt;40),"Fail","Pass")</f>
        <v>Pass</v>
      </c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 t="str">
        <f>IF(Student_Data!M293&gt;85,"Topper","Average")</f>
        <v>Average</v>
      </c>
      <c r="B293" s="9" t="str">
        <f>IF(Student_Data!N293&lt;70,"Low","OK")</f>
        <v>OK</v>
      </c>
      <c r="C293" s="9" t="str">
        <f>IF(OR(Student_Data!G293&lt;40,Student_Data!H293&lt;40,Student_Data!I293&lt;40,Student_Data!J293&lt;40,Student_Data!K293&lt;40),"Fail","Pass")</f>
        <v>Pass</v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 t="str">
        <f>IF(Student_Data!M294&gt;85,"Topper","Average")</f>
        <v>Average</v>
      </c>
      <c r="B294" s="9" t="str">
        <f>IF(Student_Data!N294&lt;70,"Low","OK")</f>
        <v>OK</v>
      </c>
      <c r="C294" s="9" t="str">
        <f>IF(OR(Student_Data!G294&lt;40,Student_Data!H294&lt;40,Student_Data!I294&lt;40,Student_Data!J294&lt;40,Student_Data!K294&lt;40),"Fail","Pass")</f>
        <v>Pass</v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 t="str">
        <f>IF(Student_Data!M295&gt;85,"Topper","Average")</f>
        <v>Average</v>
      </c>
      <c r="B295" s="9" t="str">
        <f>IF(Student_Data!N295&lt;70,"Low","OK")</f>
        <v>OK</v>
      </c>
      <c r="C295" s="9" t="str">
        <f>IF(OR(Student_Data!G295&lt;40,Student_Data!H295&lt;40,Student_Data!I295&lt;40,Student_Data!J295&lt;40,Student_Data!K295&lt;40),"Fail","Pass")</f>
        <v>Pass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 t="str">
        <f>IF(Student_Data!M296&gt;85,"Topper","Average")</f>
        <v>Average</v>
      </c>
      <c r="B296" s="9" t="str">
        <f>IF(Student_Data!N296&lt;70,"Low","OK")</f>
        <v>OK</v>
      </c>
      <c r="C296" s="9" t="str">
        <f>IF(OR(Student_Data!G296&lt;40,Student_Data!H296&lt;40,Student_Data!I296&lt;40,Student_Data!J296&lt;40,Student_Data!K296&lt;40),"Fail","Pass")</f>
        <v>Pass</v>
      </c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 t="str">
        <f>IF(Student_Data!M297&gt;85,"Topper","Average")</f>
        <v>Average</v>
      </c>
      <c r="B297" s="9" t="str">
        <f>IF(Student_Data!N297&lt;70,"Low","OK")</f>
        <v>OK</v>
      </c>
      <c r="C297" s="9" t="str">
        <f>IF(OR(Student_Data!G297&lt;40,Student_Data!H297&lt;40,Student_Data!I297&lt;40,Student_Data!J297&lt;40,Student_Data!K297&lt;40),"Fail","Pass")</f>
        <v>Pass</v>
      </c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 t="str">
        <f>IF(Student_Data!M298&gt;85,"Topper","Average")</f>
        <v>Average</v>
      </c>
      <c r="B298" s="9" t="str">
        <f>IF(Student_Data!N298&lt;70,"Low","OK")</f>
        <v>OK</v>
      </c>
      <c r="C298" s="9" t="str">
        <f>IF(OR(Student_Data!G298&lt;40,Student_Data!H298&lt;40,Student_Data!I298&lt;40,Student_Data!J298&lt;40,Student_Data!K298&lt;40),"Fail","Pass")</f>
        <v>Pass</v>
      </c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 t="str">
        <f>IF(Student_Data!M299&gt;85,"Topper","Average")</f>
        <v>Average</v>
      </c>
      <c r="B299" s="9" t="str">
        <f>IF(Student_Data!N299&lt;70,"Low","OK")</f>
        <v>OK</v>
      </c>
      <c r="C299" s="9" t="str">
        <f>IF(OR(Student_Data!G299&lt;40,Student_Data!H299&lt;40,Student_Data!I299&lt;40,Student_Data!J299&lt;40,Student_Data!K299&lt;40),"Fail","Pass")</f>
        <v>Pass</v>
      </c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 t="str">
        <f>IF(Student_Data!M300&gt;85,"Topper","Average")</f>
        <v>Average</v>
      </c>
      <c r="B300" s="9" t="str">
        <f>IF(Student_Data!N300&lt;70,"Low","OK")</f>
        <v>OK</v>
      </c>
      <c r="C300" s="9" t="str">
        <f>IF(OR(Student_Data!G300&lt;40,Student_Data!H300&lt;40,Student_Data!I300&lt;40,Student_Data!J300&lt;40,Student_Data!K300&lt;40),"Fail","Pass")</f>
        <v>Pass</v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 t="str">
        <f>IF(Student_Data!M301&gt;85,"Topper","Average")</f>
        <v>Average</v>
      </c>
      <c r="B301" s="9" t="str">
        <f>IF(Student_Data!N301&lt;70,"Low","OK")</f>
        <v>OK</v>
      </c>
      <c r="C301" s="9" t="str">
        <f>IF(OR(Student_Data!G301&lt;40,Student_Data!H301&lt;40,Student_Data!I301&lt;40,Student_Data!J301&lt;40,Student_Data!K301&lt;40),"Fail","Pass")</f>
        <v>Pass</v>
      </c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 t="str">
        <f>IF(Student_Data!M302&gt;85,"Topper","Average")</f>
        <v>Average</v>
      </c>
      <c r="B302" s="9" t="str">
        <f>IF(Student_Data!N302&lt;70,"Low","OK")</f>
        <v>Low</v>
      </c>
      <c r="C302" s="9" t="str">
        <f>IF(OR(Student_Data!G302&lt;40,Student_Data!H302&lt;40,Student_Data!I302&lt;40,Student_Data!J302&lt;40,Student_Data!K302&lt;40),"Fail","Pass")</f>
        <v>Pass</v>
      </c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 t="str">
        <f>IF(Student_Data!M303&gt;85,"Topper","Average")</f>
        <v>Average</v>
      </c>
      <c r="B303" s="9" t="str">
        <f>IF(Student_Data!N303&lt;70,"Low","OK")</f>
        <v>OK</v>
      </c>
      <c r="C303" s="9" t="str">
        <f>IF(OR(Student_Data!G303&lt;40,Student_Data!H303&lt;40,Student_Data!I303&lt;40,Student_Data!J303&lt;40,Student_Data!K303&lt;40),"Fail","Pass")</f>
        <v>Pass</v>
      </c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 t="str">
        <f>IF(Student_Data!M304&gt;85,"Topper","Average")</f>
        <v>Average</v>
      </c>
      <c r="B304" s="9" t="str">
        <f>IF(Student_Data!N304&lt;70,"Low","OK")</f>
        <v>OK</v>
      </c>
      <c r="C304" s="9" t="str">
        <f>IF(OR(Student_Data!G304&lt;40,Student_Data!H304&lt;40,Student_Data!I304&lt;40,Student_Data!J304&lt;40,Student_Data!K304&lt;40),"Fail","Pass")</f>
        <v>Pass</v>
      </c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 t="str">
        <f>IF(Student_Data!M305&gt;85,"Topper","Average")</f>
        <v>Average</v>
      </c>
      <c r="B305" s="9" t="str">
        <f>IF(Student_Data!N305&lt;70,"Low","OK")</f>
        <v>OK</v>
      </c>
      <c r="C305" s="9" t="str">
        <f>IF(OR(Student_Data!G305&lt;40,Student_Data!H305&lt;40,Student_Data!I305&lt;40,Student_Data!J305&lt;40,Student_Data!K305&lt;40),"Fail","Pass")</f>
        <v>Pass</v>
      </c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 t="str">
        <f>IF(Student_Data!M306&gt;85,"Topper","Average")</f>
        <v>Average</v>
      </c>
      <c r="B306" s="9" t="str">
        <f>IF(Student_Data!N306&lt;70,"Low","OK")</f>
        <v>Low</v>
      </c>
      <c r="C306" s="9" t="str">
        <f>IF(OR(Student_Data!G306&lt;40,Student_Data!H306&lt;40,Student_Data!I306&lt;40,Student_Data!J306&lt;40,Student_Data!K306&lt;40),"Fail","Pass")</f>
        <v>Pass</v>
      </c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 t="str">
        <f>IF(Student_Data!M307&gt;85,"Topper","Average")</f>
        <v>Average</v>
      </c>
      <c r="B307" s="9" t="str">
        <f>IF(Student_Data!N307&lt;70,"Low","OK")</f>
        <v>OK</v>
      </c>
      <c r="C307" s="9" t="str">
        <f>IF(OR(Student_Data!G307&lt;40,Student_Data!H307&lt;40,Student_Data!I307&lt;40,Student_Data!J307&lt;40,Student_Data!K307&lt;40),"Fail","Pass")</f>
        <v>Pass</v>
      </c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 t="str">
        <f>IF(Student_Data!M308&gt;85,"Topper","Average")</f>
        <v>Average</v>
      </c>
      <c r="B308" s="9" t="str">
        <f>IF(Student_Data!N308&lt;70,"Low","OK")</f>
        <v>OK</v>
      </c>
      <c r="C308" s="9" t="str">
        <f>IF(OR(Student_Data!G308&lt;40,Student_Data!H308&lt;40,Student_Data!I308&lt;40,Student_Data!J308&lt;40,Student_Data!K308&lt;40),"Fail","Pass")</f>
        <v>Pass</v>
      </c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 t="str">
        <f>IF(Student_Data!M309&gt;85,"Topper","Average")</f>
        <v>Average</v>
      </c>
      <c r="B309" s="9" t="str">
        <f>IF(Student_Data!N309&lt;70,"Low","OK")</f>
        <v>OK</v>
      </c>
      <c r="C309" s="9" t="str">
        <f>IF(OR(Student_Data!G309&lt;40,Student_Data!H309&lt;40,Student_Data!I309&lt;40,Student_Data!J309&lt;40,Student_Data!K309&lt;40),"Fail","Pass")</f>
        <v>Pass</v>
      </c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 t="str">
        <f>IF(Student_Data!M310&gt;85,"Topper","Average")</f>
        <v>Average</v>
      </c>
      <c r="B310" s="9" t="str">
        <f>IF(Student_Data!N310&lt;70,"Low","OK")</f>
        <v>OK</v>
      </c>
      <c r="C310" s="9" t="str">
        <f>IF(OR(Student_Data!G310&lt;40,Student_Data!H310&lt;40,Student_Data!I310&lt;40,Student_Data!J310&lt;40,Student_Data!K310&lt;40),"Fail","Pass")</f>
        <v>Pass</v>
      </c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 t="str">
        <f>IF(Student_Data!M311&gt;85,"Topper","Average")</f>
        <v>Average</v>
      </c>
      <c r="B311" s="9" t="str">
        <f>IF(Student_Data!N311&lt;70,"Low","OK")</f>
        <v>Low</v>
      </c>
      <c r="C311" s="9" t="str">
        <f>IF(OR(Student_Data!G311&lt;40,Student_Data!H311&lt;40,Student_Data!I311&lt;40,Student_Data!J311&lt;40,Student_Data!K311&lt;40),"Fail","Pass")</f>
        <v>Pass</v>
      </c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 t="str">
        <f>IF(Student_Data!M312&gt;85,"Topper","Average")</f>
        <v>Average</v>
      </c>
      <c r="B312" s="9" t="str">
        <f>IF(Student_Data!N312&lt;70,"Low","OK")</f>
        <v>OK</v>
      </c>
      <c r="C312" s="9" t="str">
        <f>IF(OR(Student_Data!G312&lt;40,Student_Data!H312&lt;40,Student_Data!I312&lt;40,Student_Data!J312&lt;40,Student_Data!K312&lt;40),"Fail","Pass")</f>
        <v>Pass</v>
      </c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 t="str">
        <f>IF(Student_Data!M313&gt;85,"Topper","Average")</f>
        <v>Average</v>
      </c>
      <c r="B313" s="9" t="str">
        <f>IF(Student_Data!N313&lt;70,"Low","OK")</f>
        <v>OK</v>
      </c>
      <c r="C313" s="9" t="str">
        <f>IF(OR(Student_Data!G313&lt;40,Student_Data!H313&lt;40,Student_Data!I313&lt;40,Student_Data!J313&lt;40,Student_Data!K313&lt;40),"Fail","Pass")</f>
        <v>Pass</v>
      </c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 t="str">
        <f>IF(Student_Data!M314&gt;85,"Topper","Average")</f>
        <v>Average</v>
      </c>
      <c r="B314" s="9" t="str">
        <f>IF(Student_Data!N314&lt;70,"Low","OK")</f>
        <v>OK</v>
      </c>
      <c r="C314" s="9" t="str">
        <f>IF(OR(Student_Data!G314&lt;40,Student_Data!H314&lt;40,Student_Data!I314&lt;40,Student_Data!J314&lt;40,Student_Data!K314&lt;40),"Fail","Pass")</f>
        <v>Pass</v>
      </c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 t="str">
        <f>IF(Student_Data!M315&gt;85,"Topper","Average")</f>
        <v>Average</v>
      </c>
      <c r="B315" s="9" t="str">
        <f>IF(Student_Data!N315&lt;70,"Low","OK")</f>
        <v>OK</v>
      </c>
      <c r="C315" s="9" t="str">
        <f>IF(OR(Student_Data!G315&lt;40,Student_Data!H315&lt;40,Student_Data!I315&lt;40,Student_Data!J315&lt;40,Student_Data!K315&lt;40),"Fail","Pass")</f>
        <v>Pass</v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 t="str">
        <f>IF(Student_Data!M316&gt;85,"Topper","Average")</f>
        <v>Average</v>
      </c>
      <c r="B316" s="9" t="str">
        <f>IF(Student_Data!N316&lt;70,"Low","OK")</f>
        <v>OK</v>
      </c>
      <c r="C316" s="9" t="str">
        <f>IF(OR(Student_Data!G316&lt;40,Student_Data!H316&lt;40,Student_Data!I316&lt;40,Student_Data!J316&lt;40,Student_Data!K316&lt;40),"Fail","Pass")</f>
        <v>Pass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 t="str">
        <f>IF(Student_Data!M317&gt;85,"Topper","Average")</f>
        <v>Average</v>
      </c>
      <c r="B317" s="9" t="str">
        <f>IF(Student_Data!N317&lt;70,"Low","OK")</f>
        <v>Low</v>
      </c>
      <c r="C317" s="9" t="str">
        <f>IF(OR(Student_Data!G317&lt;40,Student_Data!H317&lt;40,Student_Data!I317&lt;40,Student_Data!J317&lt;40,Student_Data!K317&lt;40),"Fail","Pass")</f>
        <v>Pass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 t="str">
        <f>IF(Student_Data!M318&gt;85,"Topper","Average")</f>
        <v>Average</v>
      </c>
      <c r="B318" s="9" t="str">
        <f>IF(Student_Data!N318&lt;70,"Low","OK")</f>
        <v>OK</v>
      </c>
      <c r="C318" s="9" t="str">
        <f>IF(OR(Student_Data!G318&lt;40,Student_Data!H318&lt;40,Student_Data!I318&lt;40,Student_Data!J318&lt;40,Student_Data!K318&lt;40),"Fail","Pass")</f>
        <v>Pass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 t="str">
        <f>IF(Student_Data!M319&gt;85,"Topper","Average")</f>
        <v>Average</v>
      </c>
      <c r="B319" s="9" t="str">
        <f>IF(Student_Data!N319&lt;70,"Low","OK")</f>
        <v>OK</v>
      </c>
      <c r="C319" s="9" t="str">
        <f>IF(OR(Student_Data!G319&lt;40,Student_Data!H319&lt;40,Student_Data!I319&lt;40,Student_Data!J319&lt;40,Student_Data!K319&lt;40),"Fail","Pass")</f>
        <v>Pass</v>
      </c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 t="str">
        <f>IF(Student_Data!M320&gt;85,"Topper","Average")</f>
        <v>Average</v>
      </c>
      <c r="B320" s="9" t="str">
        <f>IF(Student_Data!N320&lt;70,"Low","OK")</f>
        <v>OK</v>
      </c>
      <c r="C320" s="9" t="str">
        <f>IF(OR(Student_Data!G320&lt;40,Student_Data!H320&lt;40,Student_Data!I320&lt;40,Student_Data!J320&lt;40,Student_Data!K320&lt;40),"Fail","Pass")</f>
        <v>Pass</v>
      </c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 t="str">
        <f>IF(Student_Data!M321&gt;85,"Topper","Average")</f>
        <v>Average</v>
      </c>
      <c r="B321" s="9" t="str">
        <f>IF(Student_Data!N321&lt;70,"Low","OK")</f>
        <v>OK</v>
      </c>
      <c r="C321" s="9" t="str">
        <f>IF(OR(Student_Data!G321&lt;40,Student_Data!H321&lt;40,Student_Data!I321&lt;40,Student_Data!J321&lt;40,Student_Data!K321&lt;40),"Fail","Pass")</f>
        <v>Pass</v>
      </c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 t="str">
        <f>IF(Student_Data!M322&gt;85,"Topper","Average")</f>
        <v>Average</v>
      </c>
      <c r="B322" s="9" t="str">
        <f>IF(Student_Data!N322&lt;70,"Low","OK")</f>
        <v>OK</v>
      </c>
      <c r="C322" s="9" t="str">
        <f>IF(OR(Student_Data!G322&lt;40,Student_Data!H322&lt;40,Student_Data!I322&lt;40,Student_Data!J322&lt;40,Student_Data!K322&lt;40),"Fail","Pass")</f>
        <v>Pass</v>
      </c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 t="str">
        <f>IF(Student_Data!M323&gt;85,"Topper","Average")</f>
        <v>Average</v>
      </c>
      <c r="B323" s="9" t="str">
        <f>IF(Student_Data!N323&lt;70,"Low","OK")</f>
        <v>OK</v>
      </c>
      <c r="C323" s="9" t="str">
        <f>IF(OR(Student_Data!G323&lt;40,Student_Data!H323&lt;40,Student_Data!I323&lt;40,Student_Data!J323&lt;40,Student_Data!K323&lt;40),"Fail","Pass")</f>
        <v>Pass</v>
      </c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 t="str">
        <f>IF(Student_Data!M324&gt;85,"Topper","Average")</f>
        <v>Average</v>
      </c>
      <c r="B324" s="9" t="str">
        <f>IF(Student_Data!N324&lt;70,"Low","OK")</f>
        <v>OK</v>
      </c>
      <c r="C324" s="9" t="str">
        <f>IF(OR(Student_Data!G324&lt;40,Student_Data!H324&lt;40,Student_Data!I324&lt;40,Student_Data!J324&lt;40,Student_Data!K324&lt;40),"Fail","Pass")</f>
        <v>Pass</v>
      </c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 t="str">
        <f>IF(Student_Data!M325&gt;85,"Topper","Average")</f>
        <v>Average</v>
      </c>
      <c r="B325" s="9" t="str">
        <f>IF(Student_Data!N325&lt;70,"Low","OK")</f>
        <v>OK</v>
      </c>
      <c r="C325" s="9" t="str">
        <f>IF(OR(Student_Data!G325&lt;40,Student_Data!H325&lt;40,Student_Data!I325&lt;40,Student_Data!J325&lt;40,Student_Data!K325&lt;40),"Fail","Pass")</f>
        <v>Pass</v>
      </c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 t="str">
        <f>IF(Student_Data!M326&gt;85,"Topper","Average")</f>
        <v>Average</v>
      </c>
      <c r="B326" s="9" t="str">
        <f>IF(Student_Data!N326&lt;70,"Low","OK")</f>
        <v>Low</v>
      </c>
      <c r="C326" s="9" t="str">
        <f>IF(OR(Student_Data!G326&lt;40,Student_Data!H326&lt;40,Student_Data!I326&lt;40,Student_Data!J326&lt;40,Student_Data!K326&lt;40),"Fail","Pass")</f>
        <v>Pass</v>
      </c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 t="str">
        <f>IF(Student_Data!M327&gt;85,"Topper","Average")</f>
        <v>Average</v>
      </c>
      <c r="B327" s="9" t="str">
        <f>IF(Student_Data!N327&lt;70,"Low","OK")</f>
        <v>OK</v>
      </c>
      <c r="C327" s="9" t="str">
        <f>IF(OR(Student_Data!G327&lt;40,Student_Data!H327&lt;40,Student_Data!I327&lt;40,Student_Data!J327&lt;40,Student_Data!K327&lt;40),"Fail","Pass")</f>
        <v>Pass</v>
      </c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 t="str">
        <f>IF(Student_Data!M328&gt;85,"Topper","Average")</f>
        <v>Average</v>
      </c>
      <c r="B328" s="9" t="str">
        <f>IF(Student_Data!N328&lt;70,"Low","OK")</f>
        <v>OK</v>
      </c>
      <c r="C328" s="9" t="str">
        <f>IF(OR(Student_Data!G328&lt;40,Student_Data!H328&lt;40,Student_Data!I328&lt;40,Student_Data!J328&lt;40,Student_Data!K328&lt;40),"Fail","Pass")</f>
        <v>Pass</v>
      </c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 t="str">
        <f>IF(Student_Data!M329&gt;85,"Topper","Average")</f>
        <v>Average</v>
      </c>
      <c r="B329" s="9" t="str">
        <f>IF(Student_Data!N329&lt;70,"Low","OK")</f>
        <v>Low</v>
      </c>
      <c r="C329" s="9" t="str">
        <f>IF(OR(Student_Data!G329&lt;40,Student_Data!H329&lt;40,Student_Data!I329&lt;40,Student_Data!J329&lt;40,Student_Data!K329&lt;40),"Fail","Pass")</f>
        <v>Pass</v>
      </c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 t="str">
        <f>IF(Student_Data!M330&gt;85,"Topper","Average")</f>
        <v>Average</v>
      </c>
      <c r="B330" s="9" t="str">
        <f>IF(Student_Data!N330&lt;70,"Low","OK")</f>
        <v>Low</v>
      </c>
      <c r="C330" s="9" t="str">
        <f>IF(OR(Student_Data!G330&lt;40,Student_Data!H330&lt;40,Student_Data!I330&lt;40,Student_Data!J330&lt;40,Student_Data!K330&lt;40),"Fail","Pass")</f>
        <v>Pass</v>
      </c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 t="str">
        <f>IF(Student_Data!M331&gt;85,"Topper","Average")</f>
        <v>Average</v>
      </c>
      <c r="B331" s="9" t="str">
        <f>IF(Student_Data!N331&lt;70,"Low","OK")</f>
        <v>OK</v>
      </c>
      <c r="C331" s="9" t="str">
        <f>IF(OR(Student_Data!G331&lt;40,Student_Data!H331&lt;40,Student_Data!I331&lt;40,Student_Data!J331&lt;40,Student_Data!K331&lt;40),"Fail","Pass")</f>
        <v>Pass</v>
      </c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 t="str">
        <f>IF(Student_Data!M332&gt;85,"Topper","Average")</f>
        <v>Average</v>
      </c>
      <c r="B332" s="9" t="str">
        <f>IF(Student_Data!N332&lt;70,"Low","OK")</f>
        <v>OK</v>
      </c>
      <c r="C332" s="9" t="str">
        <f>IF(OR(Student_Data!G332&lt;40,Student_Data!H332&lt;40,Student_Data!I332&lt;40,Student_Data!J332&lt;40,Student_Data!K332&lt;40),"Fail","Pass")</f>
        <v>Pass</v>
      </c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 t="str">
        <f>IF(Student_Data!M333&gt;85,"Topper","Average")</f>
        <v>Average</v>
      </c>
      <c r="B333" s="9" t="str">
        <f>IF(Student_Data!N333&lt;70,"Low","OK")</f>
        <v>OK</v>
      </c>
      <c r="C333" s="9" t="str">
        <f>IF(OR(Student_Data!G333&lt;40,Student_Data!H333&lt;40,Student_Data!I333&lt;40,Student_Data!J333&lt;40,Student_Data!K333&lt;40),"Fail","Pass")</f>
        <v>Pass</v>
      </c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 t="str">
        <f>IF(Student_Data!M334&gt;85,"Topper","Average")</f>
        <v>Average</v>
      </c>
      <c r="B334" s="9" t="str">
        <f>IF(Student_Data!N334&lt;70,"Low","OK")</f>
        <v>OK</v>
      </c>
      <c r="C334" s="9" t="str">
        <f>IF(OR(Student_Data!G334&lt;40,Student_Data!H334&lt;40,Student_Data!I334&lt;40,Student_Data!J334&lt;40,Student_Data!K334&lt;40),"Fail","Pass")</f>
        <v>Pass</v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 t="str">
        <f>IF(Student_Data!M335&gt;85,"Topper","Average")</f>
        <v>Average</v>
      </c>
      <c r="B335" s="9" t="str">
        <f>IF(Student_Data!N335&lt;70,"Low","OK")</f>
        <v>OK</v>
      </c>
      <c r="C335" s="9" t="str">
        <f>IF(OR(Student_Data!G335&lt;40,Student_Data!H335&lt;40,Student_Data!I335&lt;40,Student_Data!J335&lt;40,Student_Data!K335&lt;40),"Fail","Pass")</f>
        <v>Pass</v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 t="str">
        <f>IF(Student_Data!M336&gt;85,"Topper","Average")</f>
        <v>Average</v>
      </c>
      <c r="B336" s="9" t="str">
        <f>IF(Student_Data!N336&lt;70,"Low","OK")</f>
        <v>OK</v>
      </c>
      <c r="C336" s="9" t="str">
        <f>IF(OR(Student_Data!G336&lt;40,Student_Data!H336&lt;40,Student_Data!I336&lt;40,Student_Data!J336&lt;40,Student_Data!K336&lt;40),"Fail","Pass")</f>
        <v>Pass</v>
      </c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 t="str">
        <f>IF(Student_Data!M337&gt;85,"Topper","Average")</f>
        <v>Topper</v>
      </c>
      <c r="B337" s="9" t="str">
        <f>IF(Student_Data!N337&lt;70,"Low","OK")</f>
        <v>OK</v>
      </c>
      <c r="C337" s="9" t="str">
        <f>IF(OR(Student_Data!G337&lt;40,Student_Data!H337&lt;40,Student_Data!I337&lt;40,Student_Data!J337&lt;40,Student_Data!K337&lt;40),"Fail","Pass")</f>
        <v>Pass</v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 t="str">
        <f>IF(Student_Data!M338&gt;85,"Topper","Average")</f>
        <v>Average</v>
      </c>
      <c r="B338" s="9" t="str">
        <f>IF(Student_Data!N338&lt;70,"Low","OK")</f>
        <v>Low</v>
      </c>
      <c r="C338" s="9" t="str">
        <f>IF(OR(Student_Data!G338&lt;40,Student_Data!H338&lt;40,Student_Data!I338&lt;40,Student_Data!J338&lt;40,Student_Data!K338&lt;40),"Fail","Pass")</f>
        <v>Pass</v>
      </c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 t="str">
        <f>IF(Student_Data!M339&gt;85,"Topper","Average")</f>
        <v>Average</v>
      </c>
      <c r="B339" s="9" t="str">
        <f>IF(Student_Data!N339&lt;70,"Low","OK")</f>
        <v>OK</v>
      </c>
      <c r="C339" s="9" t="str">
        <f>IF(OR(Student_Data!G339&lt;40,Student_Data!H339&lt;40,Student_Data!I339&lt;40,Student_Data!J339&lt;40,Student_Data!K339&lt;40),"Fail","Pass")</f>
        <v>Pass</v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 t="str">
        <f>IF(Student_Data!M340&gt;85,"Topper","Average")</f>
        <v>Average</v>
      </c>
      <c r="B340" s="9" t="str">
        <f>IF(Student_Data!N340&lt;70,"Low","OK")</f>
        <v>OK</v>
      </c>
      <c r="C340" s="9" t="str">
        <f>IF(OR(Student_Data!G340&lt;40,Student_Data!H340&lt;40,Student_Data!I340&lt;40,Student_Data!J340&lt;40,Student_Data!K340&lt;40),"Fail","Pass")</f>
        <v>Pass</v>
      </c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 t="str">
        <f>IF(Student_Data!M341&gt;85,"Topper","Average")</f>
        <v>Average</v>
      </c>
      <c r="B341" s="9" t="str">
        <f>IF(Student_Data!N341&lt;70,"Low","OK")</f>
        <v>OK</v>
      </c>
      <c r="C341" s="9" t="str">
        <f>IF(OR(Student_Data!G341&lt;40,Student_Data!H341&lt;40,Student_Data!I341&lt;40,Student_Data!J341&lt;40,Student_Data!K341&lt;40),"Fail","Pass")</f>
        <v>Pass</v>
      </c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 t="str">
        <f>IF(Student_Data!M342&gt;85,"Topper","Average")</f>
        <v>Average</v>
      </c>
      <c r="B342" s="9" t="str">
        <f>IF(Student_Data!N342&lt;70,"Low","OK")</f>
        <v>OK</v>
      </c>
      <c r="C342" s="9" t="str">
        <f>IF(OR(Student_Data!G342&lt;40,Student_Data!H342&lt;40,Student_Data!I342&lt;40,Student_Data!J342&lt;40,Student_Data!K342&lt;40),"Fail","Pass")</f>
        <v>Pass</v>
      </c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 t="str">
        <f>IF(Student_Data!M343&gt;85,"Topper","Average")</f>
        <v>Average</v>
      </c>
      <c r="B343" s="9" t="str">
        <f>IF(Student_Data!N343&lt;70,"Low","OK")</f>
        <v>OK</v>
      </c>
      <c r="C343" s="9" t="str">
        <f>IF(OR(Student_Data!G343&lt;40,Student_Data!H343&lt;40,Student_Data!I343&lt;40,Student_Data!J343&lt;40,Student_Data!K343&lt;40),"Fail","Pass")</f>
        <v>Pass</v>
      </c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 t="str">
        <f>IF(Student_Data!M344&gt;85,"Topper","Average")</f>
        <v>Average</v>
      </c>
      <c r="B344" s="9" t="str">
        <f>IF(Student_Data!N344&lt;70,"Low","OK")</f>
        <v>OK</v>
      </c>
      <c r="C344" s="9" t="str">
        <f>IF(OR(Student_Data!G344&lt;40,Student_Data!H344&lt;40,Student_Data!I344&lt;40,Student_Data!J344&lt;40,Student_Data!K344&lt;40),"Fail","Pass")</f>
        <v>Pass</v>
      </c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 t="str">
        <f>IF(Student_Data!M345&gt;85,"Topper","Average")</f>
        <v>Average</v>
      </c>
      <c r="B345" s="9" t="str">
        <f>IF(Student_Data!N345&lt;70,"Low","OK")</f>
        <v>Low</v>
      </c>
      <c r="C345" s="9" t="str">
        <f>IF(OR(Student_Data!G345&lt;40,Student_Data!H345&lt;40,Student_Data!I345&lt;40,Student_Data!J345&lt;40,Student_Data!K345&lt;40),"Fail","Pass")</f>
        <v>Pass</v>
      </c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 t="str">
        <f>IF(Student_Data!M346&gt;85,"Topper","Average")</f>
        <v>Average</v>
      </c>
      <c r="B346" s="9" t="str">
        <f>IF(Student_Data!N346&lt;70,"Low","OK")</f>
        <v>OK</v>
      </c>
      <c r="C346" s="9" t="str">
        <f>IF(OR(Student_Data!G346&lt;40,Student_Data!H346&lt;40,Student_Data!I346&lt;40,Student_Data!J346&lt;40,Student_Data!K346&lt;40),"Fail","Pass")</f>
        <v>Pass</v>
      </c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 t="str">
        <f>IF(Student_Data!M347&gt;85,"Topper","Average")</f>
        <v>Average</v>
      </c>
      <c r="B347" s="9" t="str">
        <f>IF(Student_Data!N347&lt;70,"Low","OK")</f>
        <v>OK</v>
      </c>
      <c r="C347" s="9" t="str">
        <f>IF(OR(Student_Data!G347&lt;40,Student_Data!H347&lt;40,Student_Data!I347&lt;40,Student_Data!J347&lt;40,Student_Data!K347&lt;40),"Fail","Pass")</f>
        <v>Pass</v>
      </c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 t="str">
        <f>IF(Student_Data!M348&gt;85,"Topper","Average")</f>
        <v>Average</v>
      </c>
      <c r="B348" s="9" t="str">
        <f>IF(Student_Data!N348&lt;70,"Low","OK")</f>
        <v>OK</v>
      </c>
      <c r="C348" s="9" t="str">
        <f>IF(OR(Student_Data!G348&lt;40,Student_Data!H348&lt;40,Student_Data!I348&lt;40,Student_Data!J348&lt;40,Student_Data!K348&lt;40),"Fail","Pass")</f>
        <v>Pass</v>
      </c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 t="str">
        <f>IF(Student_Data!M349&gt;85,"Topper","Average")</f>
        <v>Average</v>
      </c>
      <c r="B349" s="9" t="str">
        <f>IF(Student_Data!N349&lt;70,"Low","OK")</f>
        <v>OK</v>
      </c>
      <c r="C349" s="9" t="str">
        <f>IF(OR(Student_Data!G349&lt;40,Student_Data!H349&lt;40,Student_Data!I349&lt;40,Student_Data!J349&lt;40,Student_Data!K349&lt;40),"Fail","Pass")</f>
        <v>Pass</v>
      </c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 t="str">
        <f>IF(Student_Data!M350&gt;85,"Topper","Average")</f>
        <v>Average</v>
      </c>
      <c r="B350" s="9" t="str">
        <f>IF(Student_Data!N350&lt;70,"Low","OK")</f>
        <v>Low</v>
      </c>
      <c r="C350" s="9" t="str">
        <f>IF(OR(Student_Data!G350&lt;40,Student_Data!H350&lt;40,Student_Data!I350&lt;40,Student_Data!J350&lt;40,Student_Data!K350&lt;40),"Fail","Pass")</f>
        <v>Pass</v>
      </c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 t="str">
        <f>IF(Student_Data!M351&gt;85,"Topper","Average")</f>
        <v>Topper</v>
      </c>
      <c r="B351" s="9" t="str">
        <f>IF(Student_Data!N351&lt;70,"Low","OK")</f>
        <v>OK</v>
      </c>
      <c r="C351" s="9" t="str">
        <f>IF(OR(Student_Data!G351&lt;40,Student_Data!H351&lt;40,Student_Data!I351&lt;40,Student_Data!J351&lt;40,Student_Data!K351&lt;40),"Fail","Pass")</f>
        <v>Pass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 t="str">
        <f>IF(Student_Data!M352&gt;85,"Topper","Average")</f>
        <v>Average</v>
      </c>
      <c r="B352" s="9" t="str">
        <f>IF(Student_Data!N352&lt;70,"Low","OK")</f>
        <v>OK</v>
      </c>
      <c r="C352" s="9" t="str">
        <f>IF(OR(Student_Data!G352&lt;40,Student_Data!H352&lt;40,Student_Data!I352&lt;40,Student_Data!J352&lt;40,Student_Data!K352&lt;40),"Fail","Pass")</f>
        <v>Pass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 t="str">
        <f>IF(Student_Data!M353&gt;85,"Topper","Average")</f>
        <v>Average</v>
      </c>
      <c r="B353" s="9" t="str">
        <f>IF(Student_Data!N353&lt;70,"Low","OK")</f>
        <v>OK</v>
      </c>
      <c r="C353" s="9" t="str">
        <f>IF(OR(Student_Data!G353&lt;40,Student_Data!H353&lt;40,Student_Data!I353&lt;40,Student_Data!J353&lt;40,Student_Data!K353&lt;40),"Fail","Pass")</f>
        <v>Pass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 t="str">
        <f>IF(Student_Data!M354&gt;85,"Topper","Average")</f>
        <v>Average</v>
      </c>
      <c r="B354" s="9" t="str">
        <f>IF(Student_Data!N354&lt;70,"Low","OK")</f>
        <v>OK</v>
      </c>
      <c r="C354" s="9" t="str">
        <f>IF(OR(Student_Data!G354&lt;40,Student_Data!H354&lt;40,Student_Data!I354&lt;40,Student_Data!J354&lt;40,Student_Data!K354&lt;40),"Fail","Pass")</f>
        <v>Pass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 t="str">
        <f>IF(Student_Data!M355&gt;85,"Topper","Average")</f>
        <v>Average</v>
      </c>
      <c r="B355" s="9" t="str">
        <f>IF(Student_Data!N355&lt;70,"Low","OK")</f>
        <v>Low</v>
      </c>
      <c r="C355" s="9" t="str">
        <f>IF(OR(Student_Data!G355&lt;40,Student_Data!H355&lt;40,Student_Data!I355&lt;40,Student_Data!J355&lt;40,Student_Data!K355&lt;40),"Fail","Pass")</f>
        <v>Pass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 t="str">
        <f>IF(Student_Data!M356&gt;85,"Topper","Average")</f>
        <v>Average</v>
      </c>
      <c r="B356" s="9" t="str">
        <f>IF(Student_Data!N356&lt;70,"Low","OK")</f>
        <v>OK</v>
      </c>
      <c r="C356" s="9" t="str">
        <f>IF(OR(Student_Data!G356&lt;40,Student_Data!H356&lt;40,Student_Data!I356&lt;40,Student_Data!J356&lt;40,Student_Data!K356&lt;40),"Fail","Pass")</f>
        <v>Pass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 t="str">
        <f>IF(Student_Data!M357&gt;85,"Topper","Average")</f>
        <v>Average</v>
      </c>
      <c r="B357" s="9" t="str">
        <f>IF(Student_Data!N357&lt;70,"Low","OK")</f>
        <v>OK</v>
      </c>
      <c r="C357" s="9" t="str">
        <f>IF(OR(Student_Data!G357&lt;40,Student_Data!H357&lt;40,Student_Data!I357&lt;40,Student_Data!J357&lt;40,Student_Data!K357&lt;40),"Fail","Pass")</f>
        <v>Pass</v>
      </c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 t="str">
        <f>IF(Student_Data!M358&gt;85,"Topper","Average")</f>
        <v>Average</v>
      </c>
      <c r="B358" s="9" t="str">
        <f>IF(Student_Data!N358&lt;70,"Low","OK")</f>
        <v>OK</v>
      </c>
      <c r="C358" s="9" t="str">
        <f>IF(OR(Student_Data!G358&lt;40,Student_Data!H358&lt;40,Student_Data!I358&lt;40,Student_Data!J358&lt;40,Student_Data!K358&lt;40),"Fail","Pass")</f>
        <v>Pass</v>
      </c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 t="str">
        <f>IF(Student_Data!M359&gt;85,"Topper","Average")</f>
        <v>Average</v>
      </c>
      <c r="B359" s="9" t="str">
        <f>IF(Student_Data!N359&lt;70,"Low","OK")</f>
        <v>OK</v>
      </c>
      <c r="C359" s="9" t="str">
        <f>IF(OR(Student_Data!G359&lt;40,Student_Data!H359&lt;40,Student_Data!I359&lt;40,Student_Data!J359&lt;40,Student_Data!K359&lt;40),"Fail","Pass")</f>
        <v>Pass</v>
      </c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 t="str">
        <f>IF(Student_Data!M360&gt;85,"Topper","Average")</f>
        <v>Average</v>
      </c>
      <c r="B360" s="9" t="str">
        <f>IF(Student_Data!N360&lt;70,"Low","OK")</f>
        <v>OK</v>
      </c>
      <c r="C360" s="9" t="str">
        <f>IF(OR(Student_Data!G360&lt;40,Student_Data!H360&lt;40,Student_Data!I360&lt;40,Student_Data!J360&lt;40,Student_Data!K360&lt;40),"Fail","Pass")</f>
        <v>Pass</v>
      </c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 t="str">
        <f>IF(Student_Data!M361&gt;85,"Topper","Average")</f>
        <v>Average</v>
      </c>
      <c r="B361" s="9" t="str">
        <f>IF(Student_Data!N361&lt;70,"Low","OK")</f>
        <v>OK</v>
      </c>
      <c r="C361" s="9" t="str">
        <f>IF(OR(Student_Data!G361&lt;40,Student_Data!H361&lt;40,Student_Data!I361&lt;40,Student_Data!J361&lt;40,Student_Data!K361&lt;40),"Fail","Pass")</f>
        <v>Pass</v>
      </c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 t="str">
        <f>IF(Student_Data!M362&gt;85,"Topper","Average")</f>
        <v>Average</v>
      </c>
      <c r="B362" s="9" t="str">
        <f>IF(Student_Data!N362&lt;70,"Low","OK")</f>
        <v>OK</v>
      </c>
      <c r="C362" s="9" t="str">
        <f>IF(OR(Student_Data!G362&lt;40,Student_Data!H362&lt;40,Student_Data!I362&lt;40,Student_Data!J362&lt;40,Student_Data!K362&lt;40),"Fail","Pass")</f>
        <v>Pass</v>
      </c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 t="str">
        <f>IF(Student_Data!M363&gt;85,"Topper","Average")</f>
        <v>Average</v>
      </c>
      <c r="B363" s="9" t="str">
        <f>IF(Student_Data!N363&lt;70,"Low","OK")</f>
        <v>OK</v>
      </c>
      <c r="C363" s="9" t="str">
        <f>IF(OR(Student_Data!G363&lt;40,Student_Data!H363&lt;40,Student_Data!I363&lt;40,Student_Data!J363&lt;40,Student_Data!K363&lt;40),"Fail","Pass")</f>
        <v>Pass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 t="str">
        <f>IF(Student_Data!M364&gt;85,"Topper","Average")</f>
        <v>Average</v>
      </c>
      <c r="B364" s="9" t="str">
        <f>IF(Student_Data!N364&lt;70,"Low","OK")</f>
        <v>Low</v>
      </c>
      <c r="C364" s="9" t="str">
        <f>IF(OR(Student_Data!G364&lt;40,Student_Data!H364&lt;40,Student_Data!I364&lt;40,Student_Data!J364&lt;40,Student_Data!K364&lt;40),"Fail","Pass")</f>
        <v>Pass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 t="str">
        <f>IF(Student_Data!M365&gt;85,"Topper","Average")</f>
        <v>Average</v>
      </c>
      <c r="B365" s="9" t="str">
        <f>IF(Student_Data!N365&lt;70,"Low","OK")</f>
        <v>Low</v>
      </c>
      <c r="C365" s="9" t="str">
        <f>IF(OR(Student_Data!G365&lt;40,Student_Data!H365&lt;40,Student_Data!I365&lt;40,Student_Data!J365&lt;40,Student_Data!K365&lt;40),"Fail","Pass")</f>
        <v>Pass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 t="str">
        <f>IF(Student_Data!M366&gt;85,"Topper","Average")</f>
        <v>Average</v>
      </c>
      <c r="B366" s="9" t="str">
        <f>IF(Student_Data!N366&lt;70,"Low","OK")</f>
        <v>OK</v>
      </c>
      <c r="C366" s="9" t="str">
        <f>IF(OR(Student_Data!G366&lt;40,Student_Data!H366&lt;40,Student_Data!I366&lt;40,Student_Data!J366&lt;40,Student_Data!K366&lt;40),"Fail","Pass")</f>
        <v>Pass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 t="str">
        <f>IF(Student_Data!M367&gt;85,"Topper","Average")</f>
        <v>Average</v>
      </c>
      <c r="B367" s="9" t="str">
        <f>IF(Student_Data!N367&lt;70,"Low","OK")</f>
        <v>Low</v>
      </c>
      <c r="C367" s="9" t="str">
        <f>IF(OR(Student_Data!G367&lt;40,Student_Data!H367&lt;40,Student_Data!I367&lt;40,Student_Data!J367&lt;40,Student_Data!K367&lt;40),"Fail","Pass")</f>
        <v>Pass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 t="str">
        <f>IF(Student_Data!M368&gt;85,"Topper","Average")</f>
        <v>Average</v>
      </c>
      <c r="B368" s="9" t="str">
        <f>IF(Student_Data!N368&lt;70,"Low","OK")</f>
        <v>Low</v>
      </c>
      <c r="C368" s="9" t="str">
        <f>IF(OR(Student_Data!G368&lt;40,Student_Data!H368&lt;40,Student_Data!I368&lt;40,Student_Data!J368&lt;40,Student_Data!K368&lt;40),"Fail","Pass")</f>
        <v>Pass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 t="str">
        <f>IF(Student_Data!M369&gt;85,"Topper","Average")</f>
        <v>Average</v>
      </c>
      <c r="B369" s="9" t="str">
        <f>IF(Student_Data!N369&lt;70,"Low","OK")</f>
        <v>OK</v>
      </c>
      <c r="C369" s="9" t="str">
        <f>IF(OR(Student_Data!G369&lt;40,Student_Data!H369&lt;40,Student_Data!I369&lt;40,Student_Data!J369&lt;40,Student_Data!K369&lt;40),"Fail","Pass")</f>
        <v>Pass</v>
      </c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 t="str">
        <f>IF(Student_Data!M370&gt;85,"Topper","Average")</f>
        <v>Average</v>
      </c>
      <c r="B370" s="9" t="str">
        <f>IF(Student_Data!N370&lt;70,"Low","OK")</f>
        <v>OK</v>
      </c>
      <c r="C370" s="9" t="str">
        <f>IF(OR(Student_Data!G370&lt;40,Student_Data!H370&lt;40,Student_Data!I370&lt;40,Student_Data!J370&lt;40,Student_Data!K370&lt;40),"Fail","Pass")</f>
        <v>Pass</v>
      </c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 t="str">
        <f>IF(Student_Data!M371&gt;85,"Topper","Average")</f>
        <v>Average</v>
      </c>
      <c r="B371" s="9" t="str">
        <f>IF(Student_Data!N371&lt;70,"Low","OK")</f>
        <v>Low</v>
      </c>
      <c r="C371" s="9" t="str">
        <f>IF(OR(Student_Data!G371&lt;40,Student_Data!H371&lt;40,Student_Data!I371&lt;40,Student_Data!J371&lt;40,Student_Data!K371&lt;40),"Fail","Pass")</f>
        <v>Pass</v>
      </c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 t="str">
        <f>IF(Student_Data!M372&gt;85,"Topper","Average")</f>
        <v>Average</v>
      </c>
      <c r="B372" s="9" t="str">
        <f>IF(Student_Data!N372&lt;70,"Low","OK")</f>
        <v>OK</v>
      </c>
      <c r="C372" s="9" t="str">
        <f>IF(OR(Student_Data!G372&lt;40,Student_Data!H372&lt;40,Student_Data!I372&lt;40,Student_Data!J372&lt;40,Student_Data!K372&lt;40),"Fail","Pass")</f>
        <v>Pass</v>
      </c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 t="str">
        <f>IF(Student_Data!M373&gt;85,"Topper","Average")</f>
        <v>Average</v>
      </c>
      <c r="B373" s="9" t="str">
        <f>IF(Student_Data!N373&lt;70,"Low","OK")</f>
        <v>Low</v>
      </c>
      <c r="C373" s="9" t="str">
        <f>IF(OR(Student_Data!G373&lt;40,Student_Data!H373&lt;40,Student_Data!I373&lt;40,Student_Data!J373&lt;40,Student_Data!K373&lt;40),"Fail","Pass")</f>
        <v>Pass</v>
      </c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 t="str">
        <f>IF(Student_Data!M374&gt;85,"Topper","Average")</f>
        <v>Average</v>
      </c>
      <c r="B374" s="9" t="str">
        <f>IF(Student_Data!N374&lt;70,"Low","OK")</f>
        <v>OK</v>
      </c>
      <c r="C374" s="9" t="str">
        <f>IF(OR(Student_Data!G374&lt;40,Student_Data!H374&lt;40,Student_Data!I374&lt;40,Student_Data!J374&lt;40,Student_Data!K374&lt;40),"Fail","Pass")</f>
        <v>Pass</v>
      </c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 t="str">
        <f>IF(Student_Data!M375&gt;85,"Topper","Average")</f>
        <v>Average</v>
      </c>
      <c r="B375" s="9" t="str">
        <f>IF(Student_Data!N375&lt;70,"Low","OK")</f>
        <v>OK</v>
      </c>
      <c r="C375" s="9" t="str">
        <f>IF(OR(Student_Data!G375&lt;40,Student_Data!H375&lt;40,Student_Data!I375&lt;40,Student_Data!J375&lt;40,Student_Data!K375&lt;40),"Fail","Pass")</f>
        <v>Pass</v>
      </c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 t="str">
        <f>IF(Student_Data!M376&gt;85,"Topper","Average")</f>
        <v>Average</v>
      </c>
      <c r="B376" s="9" t="str">
        <f>IF(Student_Data!N376&lt;70,"Low","OK")</f>
        <v>Low</v>
      </c>
      <c r="C376" s="9" t="str">
        <f>IF(OR(Student_Data!G376&lt;40,Student_Data!H376&lt;40,Student_Data!I376&lt;40,Student_Data!J376&lt;40,Student_Data!K376&lt;40),"Fail","Pass")</f>
        <v>Pass</v>
      </c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 t="str">
        <f>IF(Student_Data!M377&gt;85,"Topper","Average")</f>
        <v>Average</v>
      </c>
      <c r="B377" s="9" t="str">
        <f>IF(Student_Data!N377&lt;70,"Low","OK")</f>
        <v>OK</v>
      </c>
      <c r="C377" s="9" t="str">
        <f>IF(OR(Student_Data!G377&lt;40,Student_Data!H377&lt;40,Student_Data!I377&lt;40,Student_Data!J377&lt;40,Student_Data!K377&lt;40),"Fail","Pass")</f>
        <v>Pass</v>
      </c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 t="str">
        <f>IF(Student_Data!M378&gt;85,"Topper","Average")</f>
        <v>Average</v>
      </c>
      <c r="B378" s="9" t="str">
        <f>IF(Student_Data!N378&lt;70,"Low","OK")</f>
        <v>OK</v>
      </c>
      <c r="C378" s="9" t="str">
        <f>IF(OR(Student_Data!G378&lt;40,Student_Data!H378&lt;40,Student_Data!I378&lt;40,Student_Data!J378&lt;40,Student_Data!K378&lt;40),"Fail","Pass")</f>
        <v>Pass</v>
      </c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 t="str">
        <f>IF(Student_Data!M379&gt;85,"Topper","Average")</f>
        <v>Average</v>
      </c>
      <c r="B379" s="9" t="str">
        <f>IF(Student_Data!N379&lt;70,"Low","OK")</f>
        <v>OK</v>
      </c>
      <c r="C379" s="9" t="str">
        <f>IF(OR(Student_Data!G379&lt;40,Student_Data!H379&lt;40,Student_Data!I379&lt;40,Student_Data!J379&lt;40,Student_Data!K379&lt;40),"Fail","Pass")</f>
        <v>Pass</v>
      </c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 t="str">
        <f>IF(Student_Data!M380&gt;85,"Topper","Average")</f>
        <v>Average</v>
      </c>
      <c r="B380" s="9" t="str">
        <f>IF(Student_Data!N380&lt;70,"Low","OK")</f>
        <v>OK</v>
      </c>
      <c r="C380" s="9" t="str">
        <f>IF(OR(Student_Data!G380&lt;40,Student_Data!H380&lt;40,Student_Data!I380&lt;40,Student_Data!J380&lt;40,Student_Data!K380&lt;40),"Fail","Pass")</f>
        <v>Pass</v>
      </c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 t="str">
        <f>IF(Student_Data!M381&gt;85,"Topper","Average")</f>
        <v>Average</v>
      </c>
      <c r="B381" s="9" t="str">
        <f>IF(Student_Data!N381&lt;70,"Low","OK")</f>
        <v>OK</v>
      </c>
      <c r="C381" s="9" t="str">
        <f>IF(OR(Student_Data!G381&lt;40,Student_Data!H381&lt;40,Student_Data!I381&lt;40,Student_Data!J381&lt;40,Student_Data!K381&lt;40),"Fail","Pass")</f>
        <v>Pass</v>
      </c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 t="str">
        <f>IF(Student_Data!M382&gt;85,"Topper","Average")</f>
        <v>Average</v>
      </c>
      <c r="B382" s="9" t="str">
        <f>IF(Student_Data!N382&lt;70,"Low","OK")</f>
        <v>OK</v>
      </c>
      <c r="C382" s="9" t="str">
        <f>IF(OR(Student_Data!G382&lt;40,Student_Data!H382&lt;40,Student_Data!I382&lt;40,Student_Data!J382&lt;40,Student_Data!K382&lt;40),"Fail","Pass")</f>
        <v>Pass</v>
      </c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 t="str">
        <f>IF(Student_Data!M383&gt;85,"Topper","Average")</f>
        <v>Average</v>
      </c>
      <c r="B383" s="9" t="str">
        <f>IF(Student_Data!N383&lt;70,"Low","OK")</f>
        <v>OK</v>
      </c>
      <c r="C383" s="9" t="str">
        <f>IF(OR(Student_Data!G383&lt;40,Student_Data!H383&lt;40,Student_Data!I383&lt;40,Student_Data!J383&lt;40,Student_Data!K383&lt;40),"Fail","Pass")</f>
        <v>Pass</v>
      </c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 t="str">
        <f>IF(Student_Data!M384&gt;85,"Topper","Average")</f>
        <v>Average</v>
      </c>
      <c r="B384" s="9" t="str">
        <f>IF(Student_Data!N384&lt;70,"Low","OK")</f>
        <v>Low</v>
      </c>
      <c r="C384" s="9" t="str">
        <f>IF(OR(Student_Data!G384&lt;40,Student_Data!H384&lt;40,Student_Data!I384&lt;40,Student_Data!J384&lt;40,Student_Data!K384&lt;40),"Fail","Pass")</f>
        <v>Pass</v>
      </c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 t="str">
        <f>IF(Student_Data!M385&gt;85,"Topper","Average")</f>
        <v>Average</v>
      </c>
      <c r="B385" s="9" t="str">
        <f>IF(Student_Data!N385&lt;70,"Low","OK")</f>
        <v>OK</v>
      </c>
      <c r="C385" s="9" t="str">
        <f>IF(OR(Student_Data!G385&lt;40,Student_Data!H385&lt;40,Student_Data!I385&lt;40,Student_Data!J385&lt;40,Student_Data!K385&lt;40),"Fail","Pass")</f>
        <v>Pass</v>
      </c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 t="str">
        <f>IF(Student_Data!M386&gt;85,"Topper","Average")</f>
        <v>Average</v>
      </c>
      <c r="B386" s="9" t="str">
        <f>IF(Student_Data!N386&lt;70,"Low","OK")</f>
        <v>Low</v>
      </c>
      <c r="C386" s="9" t="str">
        <f>IF(OR(Student_Data!G386&lt;40,Student_Data!H386&lt;40,Student_Data!I386&lt;40,Student_Data!J386&lt;40,Student_Data!K386&lt;40),"Fail","Pass")</f>
        <v>Pass</v>
      </c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 t="str">
        <f>IF(Student_Data!M387&gt;85,"Topper","Average")</f>
        <v>Average</v>
      </c>
      <c r="B387" s="9" t="str">
        <f>IF(Student_Data!N387&lt;70,"Low","OK")</f>
        <v>OK</v>
      </c>
      <c r="C387" s="9" t="str">
        <f>IF(OR(Student_Data!G387&lt;40,Student_Data!H387&lt;40,Student_Data!I387&lt;40,Student_Data!J387&lt;40,Student_Data!K387&lt;40),"Fail","Pass")</f>
        <v>Pass</v>
      </c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 t="str">
        <f>IF(Student_Data!M388&gt;85,"Topper","Average")</f>
        <v>Average</v>
      </c>
      <c r="B388" s="9" t="str">
        <f>IF(Student_Data!N388&lt;70,"Low","OK")</f>
        <v>Low</v>
      </c>
      <c r="C388" s="9" t="str">
        <f>IF(OR(Student_Data!G388&lt;40,Student_Data!H388&lt;40,Student_Data!I388&lt;40,Student_Data!J388&lt;40,Student_Data!K388&lt;40),"Fail","Pass")</f>
        <v>Pass</v>
      </c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 t="str">
        <f>IF(Student_Data!M389&gt;85,"Topper","Average")</f>
        <v>Average</v>
      </c>
      <c r="B389" s="9" t="str">
        <f>IF(Student_Data!N389&lt;70,"Low","OK")</f>
        <v>OK</v>
      </c>
      <c r="C389" s="9" t="str">
        <f>IF(OR(Student_Data!G389&lt;40,Student_Data!H389&lt;40,Student_Data!I389&lt;40,Student_Data!J389&lt;40,Student_Data!K389&lt;40),"Fail","Pass")</f>
        <v>Pass</v>
      </c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 t="str">
        <f>IF(Student_Data!M390&gt;85,"Topper","Average")</f>
        <v>Average</v>
      </c>
      <c r="B390" s="9" t="str">
        <f>IF(Student_Data!N390&lt;70,"Low","OK")</f>
        <v>OK</v>
      </c>
      <c r="C390" s="9" t="str">
        <f>IF(OR(Student_Data!G390&lt;40,Student_Data!H390&lt;40,Student_Data!I390&lt;40,Student_Data!J390&lt;40,Student_Data!K390&lt;40),"Fail","Pass")</f>
        <v>Pass</v>
      </c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 t="str">
        <f>IF(Student_Data!M391&gt;85,"Topper","Average")</f>
        <v>Average</v>
      </c>
      <c r="B391" s="9" t="str">
        <f>IF(Student_Data!N391&lt;70,"Low","OK")</f>
        <v>OK</v>
      </c>
      <c r="C391" s="9" t="str">
        <f>IF(OR(Student_Data!G391&lt;40,Student_Data!H391&lt;40,Student_Data!I391&lt;40,Student_Data!J391&lt;40,Student_Data!K391&lt;40),"Fail","Pass")</f>
        <v>Pass</v>
      </c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 t="str">
        <f>IF(Student_Data!M392&gt;85,"Topper","Average")</f>
        <v>Average</v>
      </c>
      <c r="B392" s="9" t="str">
        <f>IF(Student_Data!N392&lt;70,"Low","OK")</f>
        <v>Low</v>
      </c>
      <c r="C392" s="9" t="str">
        <f>IF(OR(Student_Data!G392&lt;40,Student_Data!H392&lt;40,Student_Data!I392&lt;40,Student_Data!J392&lt;40,Student_Data!K392&lt;40),"Fail","Pass")</f>
        <v>Pass</v>
      </c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 t="str">
        <f>IF(Student_Data!M393&gt;85,"Topper","Average")</f>
        <v>Average</v>
      </c>
      <c r="B393" s="9" t="str">
        <f>IF(Student_Data!N393&lt;70,"Low","OK")</f>
        <v>OK</v>
      </c>
      <c r="C393" s="9" t="str">
        <f>IF(OR(Student_Data!G393&lt;40,Student_Data!H393&lt;40,Student_Data!I393&lt;40,Student_Data!J393&lt;40,Student_Data!K393&lt;40),"Fail","Pass")</f>
        <v>Pass</v>
      </c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 t="str">
        <f>IF(Student_Data!M394&gt;85,"Topper","Average")</f>
        <v>Average</v>
      </c>
      <c r="B394" s="9" t="str">
        <f>IF(Student_Data!N394&lt;70,"Low","OK")</f>
        <v>OK</v>
      </c>
      <c r="C394" s="9" t="str">
        <f>IF(OR(Student_Data!G394&lt;40,Student_Data!H394&lt;40,Student_Data!I394&lt;40,Student_Data!J394&lt;40,Student_Data!K394&lt;40),"Fail","Pass")</f>
        <v>Pass</v>
      </c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 t="str">
        <f>IF(Student_Data!M395&gt;85,"Topper","Average")</f>
        <v>Average</v>
      </c>
      <c r="B395" s="9" t="str">
        <f>IF(Student_Data!N395&lt;70,"Low","OK")</f>
        <v>OK</v>
      </c>
      <c r="C395" s="9" t="str">
        <f>IF(OR(Student_Data!G395&lt;40,Student_Data!H395&lt;40,Student_Data!I395&lt;40,Student_Data!J395&lt;40,Student_Data!K395&lt;40),"Fail","Pass")</f>
        <v>Pass</v>
      </c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 t="str">
        <f>IF(Student_Data!M396&gt;85,"Topper","Average")</f>
        <v>Average</v>
      </c>
      <c r="B396" s="9" t="str">
        <f>IF(Student_Data!N396&lt;70,"Low","OK")</f>
        <v>OK</v>
      </c>
      <c r="C396" s="9" t="str">
        <f>IF(OR(Student_Data!G396&lt;40,Student_Data!H396&lt;40,Student_Data!I396&lt;40,Student_Data!J396&lt;40,Student_Data!K396&lt;40),"Fail","Pass")</f>
        <v>Pass</v>
      </c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 t="str">
        <f>IF(Student_Data!M397&gt;85,"Topper","Average")</f>
        <v>Average</v>
      </c>
      <c r="B397" s="9" t="str">
        <f>IF(Student_Data!N397&lt;70,"Low","OK")</f>
        <v>OK</v>
      </c>
      <c r="C397" s="9" t="str">
        <f>IF(OR(Student_Data!G397&lt;40,Student_Data!H397&lt;40,Student_Data!I397&lt;40,Student_Data!J397&lt;40,Student_Data!K397&lt;40),"Fail","Pass")</f>
        <v>Pass</v>
      </c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 t="str">
        <f>IF(Student_Data!M398&gt;85,"Topper","Average")</f>
        <v>Average</v>
      </c>
      <c r="B398" s="9" t="str">
        <f>IF(Student_Data!N398&lt;70,"Low","OK")</f>
        <v>OK</v>
      </c>
      <c r="C398" s="9" t="str">
        <f>IF(OR(Student_Data!G398&lt;40,Student_Data!H398&lt;40,Student_Data!I398&lt;40,Student_Data!J398&lt;40,Student_Data!K398&lt;40),"Fail","Pass")</f>
        <v>Pass</v>
      </c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 t="str">
        <f>IF(Student_Data!M399&gt;85,"Topper","Average")</f>
        <v>Average</v>
      </c>
      <c r="B399" s="9" t="str">
        <f>IF(Student_Data!N399&lt;70,"Low","OK")</f>
        <v>OK</v>
      </c>
      <c r="C399" s="9" t="str">
        <f>IF(OR(Student_Data!G399&lt;40,Student_Data!H399&lt;40,Student_Data!I399&lt;40,Student_Data!J399&lt;40,Student_Data!K399&lt;40),"Fail","Pass")</f>
        <v>Pass</v>
      </c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 t="str">
        <f>IF(Student_Data!M400&gt;85,"Topper","Average")</f>
        <v>Average</v>
      </c>
      <c r="B400" s="9" t="str">
        <f>IF(Student_Data!N400&lt;70,"Low","OK")</f>
        <v>OK</v>
      </c>
      <c r="C400" s="9" t="str">
        <f>IF(OR(Student_Data!G400&lt;40,Student_Data!H400&lt;40,Student_Data!I400&lt;40,Student_Data!J400&lt;40,Student_Data!K400&lt;40),"Fail","Pass")</f>
        <v>Pass</v>
      </c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 t="str">
        <f>IF(Student_Data!M401&gt;85,"Topper","Average")</f>
        <v>Average</v>
      </c>
      <c r="B401" s="9" t="str">
        <f>IF(Student_Data!N401&lt;70,"Low","OK")</f>
        <v>OK</v>
      </c>
      <c r="C401" s="9" t="str">
        <f>IF(OR(Student_Data!G401&lt;40,Student_Data!H401&lt;40,Student_Data!I401&lt;40,Student_Data!J401&lt;40,Student_Data!K401&lt;40),"Fail","Pass")</f>
        <v>Pass</v>
      </c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 t="str">
        <f>IF(Student_Data!M402&gt;85,"Topper","Average")</f>
        <v>Average</v>
      </c>
      <c r="B402" s="9" t="str">
        <f>IF(Student_Data!N402&lt;70,"Low","OK")</f>
        <v>OK</v>
      </c>
      <c r="C402" s="9" t="str">
        <f>IF(OR(Student_Data!G402&lt;40,Student_Data!H402&lt;40,Student_Data!I402&lt;40,Student_Data!J402&lt;40,Student_Data!K402&lt;40),"Fail","Pass")</f>
        <v>Pass</v>
      </c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 t="str">
        <f>IF(Student_Data!M403&gt;85,"Topper","Average")</f>
        <v>Average</v>
      </c>
      <c r="B403" s="9" t="str">
        <f>IF(Student_Data!N403&lt;70,"Low","OK")</f>
        <v>OK</v>
      </c>
      <c r="C403" s="9" t="str">
        <f>IF(OR(Student_Data!G403&lt;40,Student_Data!H403&lt;40,Student_Data!I403&lt;40,Student_Data!J403&lt;40,Student_Data!K403&lt;40),"Fail","Pass")</f>
        <v>Pass</v>
      </c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 t="str">
        <f>IF(Student_Data!M404&gt;85,"Topper","Average")</f>
        <v>Average</v>
      </c>
      <c r="B404" s="9" t="str">
        <f>IF(Student_Data!N404&lt;70,"Low","OK")</f>
        <v>OK</v>
      </c>
      <c r="C404" s="9" t="str">
        <f>IF(OR(Student_Data!G404&lt;40,Student_Data!H404&lt;40,Student_Data!I404&lt;40,Student_Data!J404&lt;40,Student_Data!K404&lt;40),"Fail","Pass")</f>
        <v>Pass</v>
      </c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 t="str">
        <f>IF(Student_Data!M405&gt;85,"Topper","Average")</f>
        <v>Average</v>
      </c>
      <c r="B405" s="9" t="str">
        <f>IF(Student_Data!N405&lt;70,"Low","OK")</f>
        <v>OK</v>
      </c>
      <c r="C405" s="9" t="str">
        <f>IF(OR(Student_Data!G405&lt;40,Student_Data!H405&lt;40,Student_Data!I405&lt;40,Student_Data!J405&lt;40,Student_Data!K405&lt;40),"Fail","Pass")</f>
        <v>Pass</v>
      </c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 t="str">
        <f>IF(Student_Data!M406&gt;85,"Topper","Average")</f>
        <v>Average</v>
      </c>
      <c r="B406" s="9" t="str">
        <f>IF(Student_Data!N406&lt;70,"Low","OK")</f>
        <v>Low</v>
      </c>
      <c r="C406" s="9" t="str">
        <f>IF(OR(Student_Data!G406&lt;40,Student_Data!H406&lt;40,Student_Data!I406&lt;40,Student_Data!J406&lt;40,Student_Data!K406&lt;40),"Fail","Pass")</f>
        <v>Pass</v>
      </c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 t="str">
        <f>IF(Student_Data!M407&gt;85,"Topper","Average")</f>
        <v>Average</v>
      </c>
      <c r="B407" s="9" t="str">
        <f>IF(Student_Data!N407&lt;70,"Low","OK")</f>
        <v>OK</v>
      </c>
      <c r="C407" s="9" t="str">
        <f>IF(OR(Student_Data!G407&lt;40,Student_Data!H407&lt;40,Student_Data!I407&lt;40,Student_Data!J407&lt;40,Student_Data!K407&lt;40),"Fail","Pass")</f>
        <v>Pass</v>
      </c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 t="str">
        <f>IF(Student_Data!M408&gt;85,"Topper","Average")</f>
        <v>Topper</v>
      </c>
      <c r="B408" s="9" t="str">
        <f>IF(Student_Data!N408&lt;70,"Low","OK")</f>
        <v>Low</v>
      </c>
      <c r="C408" s="9" t="str">
        <f>IF(OR(Student_Data!G408&lt;40,Student_Data!H408&lt;40,Student_Data!I408&lt;40,Student_Data!J408&lt;40,Student_Data!K408&lt;40),"Fail","Pass")</f>
        <v>Pass</v>
      </c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 t="str">
        <f>IF(Student_Data!M409&gt;85,"Topper","Average")</f>
        <v>Average</v>
      </c>
      <c r="B409" s="9" t="str">
        <f>IF(Student_Data!N409&lt;70,"Low","OK")</f>
        <v>OK</v>
      </c>
      <c r="C409" s="9" t="str">
        <f>IF(OR(Student_Data!G409&lt;40,Student_Data!H409&lt;40,Student_Data!I409&lt;40,Student_Data!J409&lt;40,Student_Data!K409&lt;40),"Fail","Pass")</f>
        <v>Pass</v>
      </c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 t="str">
        <f>IF(Student_Data!M410&gt;85,"Topper","Average")</f>
        <v>Average</v>
      </c>
      <c r="B410" s="9" t="str">
        <f>IF(Student_Data!N410&lt;70,"Low","OK")</f>
        <v>OK</v>
      </c>
      <c r="C410" s="9" t="str">
        <f>IF(OR(Student_Data!G410&lt;40,Student_Data!H410&lt;40,Student_Data!I410&lt;40,Student_Data!J410&lt;40,Student_Data!K410&lt;40),"Fail","Pass")</f>
        <v>Pass</v>
      </c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 t="str">
        <f>IF(Student_Data!M411&gt;85,"Topper","Average")</f>
        <v>Average</v>
      </c>
      <c r="B411" s="9" t="str">
        <f>IF(Student_Data!N411&lt;70,"Low","OK")</f>
        <v>Low</v>
      </c>
      <c r="C411" s="9" t="str">
        <f>IF(OR(Student_Data!G411&lt;40,Student_Data!H411&lt;40,Student_Data!I411&lt;40,Student_Data!J411&lt;40,Student_Data!K411&lt;40),"Fail","Pass")</f>
        <v>Pass</v>
      </c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 t="str">
        <f>IF(Student_Data!M412&gt;85,"Topper","Average")</f>
        <v>Average</v>
      </c>
      <c r="B412" s="9" t="str">
        <f>IF(Student_Data!N412&lt;70,"Low","OK")</f>
        <v>OK</v>
      </c>
      <c r="C412" s="9" t="str">
        <f>IF(OR(Student_Data!G412&lt;40,Student_Data!H412&lt;40,Student_Data!I412&lt;40,Student_Data!J412&lt;40,Student_Data!K412&lt;40),"Fail","Pass")</f>
        <v>Pass</v>
      </c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 t="str">
        <f>IF(Student_Data!M413&gt;85,"Topper","Average")</f>
        <v>Average</v>
      </c>
      <c r="B413" s="9" t="str">
        <f>IF(Student_Data!N413&lt;70,"Low","OK")</f>
        <v>Low</v>
      </c>
      <c r="C413" s="9" t="str">
        <f>IF(OR(Student_Data!G413&lt;40,Student_Data!H413&lt;40,Student_Data!I413&lt;40,Student_Data!J413&lt;40,Student_Data!K413&lt;40),"Fail","Pass")</f>
        <v>Pass</v>
      </c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 t="str">
        <f>IF(Student_Data!M414&gt;85,"Topper","Average")</f>
        <v>Average</v>
      </c>
      <c r="B414" s="9" t="str">
        <f>IF(Student_Data!N414&lt;70,"Low","OK")</f>
        <v>OK</v>
      </c>
      <c r="C414" s="9" t="str">
        <f>IF(OR(Student_Data!G414&lt;40,Student_Data!H414&lt;40,Student_Data!I414&lt;40,Student_Data!J414&lt;40,Student_Data!K414&lt;40),"Fail","Pass")</f>
        <v>Pass</v>
      </c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 t="str">
        <f>IF(Student_Data!M415&gt;85,"Topper","Average")</f>
        <v>Average</v>
      </c>
      <c r="B415" s="9" t="str">
        <f>IF(Student_Data!N415&lt;70,"Low","OK")</f>
        <v>OK</v>
      </c>
      <c r="C415" s="9" t="str">
        <f>IF(OR(Student_Data!G415&lt;40,Student_Data!H415&lt;40,Student_Data!I415&lt;40,Student_Data!J415&lt;40,Student_Data!K415&lt;40),"Fail","Pass")</f>
        <v>Pass</v>
      </c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 t="str">
        <f>IF(Student_Data!M416&gt;85,"Topper","Average")</f>
        <v>Average</v>
      </c>
      <c r="B416" s="9" t="str">
        <f>IF(Student_Data!N416&lt;70,"Low","OK")</f>
        <v>OK</v>
      </c>
      <c r="C416" s="9" t="str">
        <f>IF(OR(Student_Data!G416&lt;40,Student_Data!H416&lt;40,Student_Data!I416&lt;40,Student_Data!J416&lt;40,Student_Data!K416&lt;40),"Fail","Pass")</f>
        <v>Pass</v>
      </c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 t="str">
        <f>IF(Student_Data!M417&gt;85,"Topper","Average")</f>
        <v>Average</v>
      </c>
      <c r="B417" s="9" t="str">
        <f>IF(Student_Data!N417&lt;70,"Low","OK")</f>
        <v>OK</v>
      </c>
      <c r="C417" s="9" t="str">
        <f>IF(OR(Student_Data!G417&lt;40,Student_Data!H417&lt;40,Student_Data!I417&lt;40,Student_Data!J417&lt;40,Student_Data!K417&lt;40),"Fail","Pass")</f>
        <v>Pass</v>
      </c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 t="str">
        <f>IF(Student_Data!M418&gt;85,"Topper","Average")</f>
        <v>Average</v>
      </c>
      <c r="B418" s="9" t="str">
        <f>IF(Student_Data!N418&lt;70,"Low","OK")</f>
        <v>OK</v>
      </c>
      <c r="C418" s="9" t="str">
        <f>IF(OR(Student_Data!G418&lt;40,Student_Data!H418&lt;40,Student_Data!I418&lt;40,Student_Data!J418&lt;40,Student_Data!K418&lt;40),"Fail","Pass")</f>
        <v>Pass</v>
      </c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 t="str">
        <f>IF(Student_Data!M419&gt;85,"Topper","Average")</f>
        <v>Average</v>
      </c>
      <c r="B419" s="9" t="str">
        <f>IF(Student_Data!N419&lt;70,"Low","OK")</f>
        <v>OK</v>
      </c>
      <c r="C419" s="9" t="str">
        <f>IF(OR(Student_Data!G419&lt;40,Student_Data!H419&lt;40,Student_Data!I419&lt;40,Student_Data!J419&lt;40,Student_Data!K419&lt;40),"Fail","Pass")</f>
        <v>Pass</v>
      </c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 t="str">
        <f>IF(Student_Data!M420&gt;85,"Topper","Average")</f>
        <v>Average</v>
      </c>
      <c r="B420" s="9" t="str">
        <f>IF(Student_Data!N420&lt;70,"Low","OK")</f>
        <v>OK</v>
      </c>
      <c r="C420" s="9" t="str">
        <f>IF(OR(Student_Data!G420&lt;40,Student_Data!H420&lt;40,Student_Data!I420&lt;40,Student_Data!J420&lt;40,Student_Data!K420&lt;40),"Fail","Pass")</f>
        <v>Pass</v>
      </c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 t="str">
        <f>IF(Student_Data!M421&gt;85,"Topper","Average")</f>
        <v>Topper</v>
      </c>
      <c r="B421" s="9" t="str">
        <f>IF(Student_Data!N421&lt;70,"Low","OK")</f>
        <v>OK</v>
      </c>
      <c r="C421" s="9" t="str">
        <f>IF(OR(Student_Data!G421&lt;40,Student_Data!H421&lt;40,Student_Data!I421&lt;40,Student_Data!J421&lt;40,Student_Data!K421&lt;40),"Fail","Pass")</f>
        <v>Pass</v>
      </c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 t="str">
        <f>IF(Student_Data!M422&gt;85,"Topper","Average")</f>
        <v>Average</v>
      </c>
      <c r="B422" s="9" t="str">
        <f>IF(Student_Data!N422&lt;70,"Low","OK")</f>
        <v>OK</v>
      </c>
      <c r="C422" s="9" t="str">
        <f>IF(OR(Student_Data!G422&lt;40,Student_Data!H422&lt;40,Student_Data!I422&lt;40,Student_Data!J422&lt;40,Student_Data!K422&lt;40),"Fail","Pass")</f>
        <v>Pass</v>
      </c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 t="str">
        <f>IF(Student_Data!M423&gt;85,"Topper","Average")</f>
        <v>Average</v>
      </c>
      <c r="B423" s="9" t="str">
        <f>IF(Student_Data!N423&lt;70,"Low","OK")</f>
        <v>OK</v>
      </c>
      <c r="C423" s="9" t="str">
        <f>IF(OR(Student_Data!G423&lt;40,Student_Data!H423&lt;40,Student_Data!I423&lt;40,Student_Data!J423&lt;40,Student_Data!K423&lt;40),"Fail","Pass")</f>
        <v>Pass</v>
      </c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 t="str">
        <f>IF(Student_Data!M424&gt;85,"Topper","Average")</f>
        <v>Average</v>
      </c>
      <c r="B424" s="9" t="str">
        <f>IF(Student_Data!N424&lt;70,"Low","OK")</f>
        <v>OK</v>
      </c>
      <c r="C424" s="9" t="str">
        <f>IF(OR(Student_Data!G424&lt;40,Student_Data!H424&lt;40,Student_Data!I424&lt;40,Student_Data!J424&lt;40,Student_Data!K424&lt;40),"Fail","Pass")</f>
        <v>Pass</v>
      </c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 t="str">
        <f>IF(Student_Data!M425&gt;85,"Topper","Average")</f>
        <v>Average</v>
      </c>
      <c r="B425" s="9" t="str">
        <f>IF(Student_Data!N425&lt;70,"Low","OK")</f>
        <v>OK</v>
      </c>
      <c r="C425" s="9" t="str">
        <f>IF(OR(Student_Data!G425&lt;40,Student_Data!H425&lt;40,Student_Data!I425&lt;40,Student_Data!J425&lt;40,Student_Data!K425&lt;40),"Fail","Pass")</f>
        <v>Pass</v>
      </c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 t="str">
        <f>IF(Student_Data!M426&gt;85,"Topper","Average")</f>
        <v>Average</v>
      </c>
      <c r="B426" s="9" t="str">
        <f>IF(Student_Data!N426&lt;70,"Low","OK")</f>
        <v>OK</v>
      </c>
      <c r="C426" s="9" t="str">
        <f>IF(OR(Student_Data!G426&lt;40,Student_Data!H426&lt;40,Student_Data!I426&lt;40,Student_Data!J426&lt;40,Student_Data!K426&lt;40),"Fail","Pass")</f>
        <v>Pass</v>
      </c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 t="str">
        <f>IF(Student_Data!M427&gt;85,"Topper","Average")</f>
        <v>Average</v>
      </c>
      <c r="B427" s="9" t="str">
        <f>IF(Student_Data!N427&lt;70,"Low","OK")</f>
        <v>OK</v>
      </c>
      <c r="C427" s="9" t="str">
        <f>IF(OR(Student_Data!G427&lt;40,Student_Data!H427&lt;40,Student_Data!I427&lt;40,Student_Data!J427&lt;40,Student_Data!K427&lt;40),"Fail","Pass")</f>
        <v>Pass</v>
      </c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 t="str">
        <f>IF(Student_Data!M428&gt;85,"Topper","Average")</f>
        <v>Average</v>
      </c>
      <c r="B428" s="9" t="str">
        <f>IF(Student_Data!N428&lt;70,"Low","OK")</f>
        <v>OK</v>
      </c>
      <c r="C428" s="9" t="str">
        <f>IF(OR(Student_Data!G428&lt;40,Student_Data!H428&lt;40,Student_Data!I428&lt;40,Student_Data!J428&lt;40,Student_Data!K428&lt;40),"Fail","Pass")</f>
        <v>Pass</v>
      </c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 t="str">
        <f>IF(Student_Data!M429&gt;85,"Topper","Average")</f>
        <v>Average</v>
      </c>
      <c r="B429" s="9" t="str">
        <f>IF(Student_Data!N429&lt;70,"Low","OK")</f>
        <v>Low</v>
      </c>
      <c r="C429" s="9" t="str">
        <f>IF(OR(Student_Data!G429&lt;40,Student_Data!H429&lt;40,Student_Data!I429&lt;40,Student_Data!J429&lt;40,Student_Data!K429&lt;40),"Fail","Pass")</f>
        <v>Pass</v>
      </c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 t="str">
        <f>IF(Student_Data!M430&gt;85,"Topper","Average")</f>
        <v>Average</v>
      </c>
      <c r="B430" s="9" t="str">
        <f>IF(Student_Data!N430&lt;70,"Low","OK")</f>
        <v>OK</v>
      </c>
      <c r="C430" s="9" t="str">
        <f>IF(OR(Student_Data!G430&lt;40,Student_Data!H430&lt;40,Student_Data!I430&lt;40,Student_Data!J430&lt;40,Student_Data!K430&lt;40),"Fail","Pass")</f>
        <v>Pass</v>
      </c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 t="str">
        <f>IF(Student_Data!M431&gt;85,"Topper","Average")</f>
        <v>Average</v>
      </c>
      <c r="B431" s="9" t="str">
        <f>IF(Student_Data!N431&lt;70,"Low","OK")</f>
        <v>OK</v>
      </c>
      <c r="C431" s="9" t="str">
        <f>IF(OR(Student_Data!G431&lt;40,Student_Data!H431&lt;40,Student_Data!I431&lt;40,Student_Data!J431&lt;40,Student_Data!K431&lt;40),"Fail","Pass")</f>
        <v>Pass</v>
      </c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 t="str">
        <f>IF(Student_Data!M432&gt;85,"Topper","Average")</f>
        <v>Average</v>
      </c>
      <c r="B432" s="9" t="str">
        <f>IF(Student_Data!N432&lt;70,"Low","OK")</f>
        <v>OK</v>
      </c>
      <c r="C432" s="9" t="str">
        <f>IF(OR(Student_Data!G432&lt;40,Student_Data!H432&lt;40,Student_Data!I432&lt;40,Student_Data!J432&lt;40,Student_Data!K432&lt;40),"Fail","Pass")</f>
        <v>Pass</v>
      </c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 t="str">
        <f>IF(Student_Data!M433&gt;85,"Topper","Average")</f>
        <v>Average</v>
      </c>
      <c r="B433" s="9" t="str">
        <f>IF(Student_Data!N433&lt;70,"Low","OK")</f>
        <v>OK</v>
      </c>
      <c r="C433" s="9" t="str">
        <f>IF(OR(Student_Data!G433&lt;40,Student_Data!H433&lt;40,Student_Data!I433&lt;40,Student_Data!J433&lt;40,Student_Data!K433&lt;40),"Fail","Pass")</f>
        <v>Pass</v>
      </c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 t="str">
        <f>IF(Student_Data!M434&gt;85,"Topper","Average")</f>
        <v>Average</v>
      </c>
      <c r="B434" s="9" t="str">
        <f>IF(Student_Data!N434&lt;70,"Low","OK")</f>
        <v>OK</v>
      </c>
      <c r="C434" s="9" t="str">
        <f>IF(OR(Student_Data!G434&lt;40,Student_Data!H434&lt;40,Student_Data!I434&lt;40,Student_Data!J434&lt;40,Student_Data!K434&lt;40),"Fail","Pass")</f>
        <v>Pass</v>
      </c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 t="str">
        <f>IF(Student_Data!M435&gt;85,"Topper","Average")</f>
        <v>Average</v>
      </c>
      <c r="B435" s="9" t="str">
        <f>IF(Student_Data!N435&lt;70,"Low","OK")</f>
        <v>OK</v>
      </c>
      <c r="C435" s="9" t="str">
        <f>IF(OR(Student_Data!G435&lt;40,Student_Data!H435&lt;40,Student_Data!I435&lt;40,Student_Data!J435&lt;40,Student_Data!K435&lt;40),"Fail","Pass")</f>
        <v>Pass</v>
      </c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 t="str">
        <f>IF(Student_Data!M436&gt;85,"Topper","Average")</f>
        <v>Average</v>
      </c>
      <c r="B436" s="9" t="str">
        <f>IF(Student_Data!N436&lt;70,"Low","OK")</f>
        <v>OK</v>
      </c>
      <c r="C436" s="9" t="str">
        <f>IF(OR(Student_Data!G436&lt;40,Student_Data!H436&lt;40,Student_Data!I436&lt;40,Student_Data!J436&lt;40,Student_Data!K436&lt;40),"Fail","Pass")</f>
        <v>Pass</v>
      </c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 t="str">
        <f>IF(Student_Data!M437&gt;85,"Topper","Average")</f>
        <v>Average</v>
      </c>
      <c r="B437" s="9" t="str">
        <f>IF(Student_Data!N437&lt;70,"Low","OK")</f>
        <v>Low</v>
      </c>
      <c r="C437" s="9" t="str">
        <f>IF(OR(Student_Data!G437&lt;40,Student_Data!H437&lt;40,Student_Data!I437&lt;40,Student_Data!J437&lt;40,Student_Data!K437&lt;40),"Fail","Pass")</f>
        <v>Pass</v>
      </c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 t="str">
        <f>IF(Student_Data!M438&gt;85,"Topper","Average")</f>
        <v>Average</v>
      </c>
      <c r="B438" s="9" t="str">
        <f>IF(Student_Data!N438&lt;70,"Low","OK")</f>
        <v>OK</v>
      </c>
      <c r="C438" s="9" t="str">
        <f>IF(OR(Student_Data!G438&lt;40,Student_Data!H438&lt;40,Student_Data!I438&lt;40,Student_Data!J438&lt;40,Student_Data!K438&lt;40),"Fail","Pass")</f>
        <v>Pass</v>
      </c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 t="str">
        <f>IF(Student_Data!M439&gt;85,"Topper","Average")</f>
        <v>Average</v>
      </c>
      <c r="B439" s="9" t="str">
        <f>IF(Student_Data!N439&lt;70,"Low","OK")</f>
        <v>OK</v>
      </c>
      <c r="C439" s="9" t="str">
        <f>IF(OR(Student_Data!G439&lt;40,Student_Data!H439&lt;40,Student_Data!I439&lt;40,Student_Data!J439&lt;40,Student_Data!K439&lt;40),"Fail","Pass")</f>
        <v>Pass</v>
      </c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 t="str">
        <f>IF(Student_Data!M440&gt;85,"Topper","Average")</f>
        <v>Average</v>
      </c>
      <c r="B440" s="9" t="str">
        <f>IF(Student_Data!N440&lt;70,"Low","OK")</f>
        <v>Low</v>
      </c>
      <c r="C440" s="9" t="str">
        <f>IF(OR(Student_Data!G440&lt;40,Student_Data!H440&lt;40,Student_Data!I440&lt;40,Student_Data!J440&lt;40,Student_Data!K440&lt;40),"Fail","Pass")</f>
        <v>Pass</v>
      </c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 t="str">
        <f>IF(Student_Data!M441&gt;85,"Topper","Average")</f>
        <v>Average</v>
      </c>
      <c r="B441" s="9" t="str">
        <f>IF(Student_Data!N441&lt;70,"Low","OK")</f>
        <v>Low</v>
      </c>
      <c r="C441" s="9" t="str">
        <f>IF(OR(Student_Data!G441&lt;40,Student_Data!H441&lt;40,Student_Data!I441&lt;40,Student_Data!J441&lt;40,Student_Data!K441&lt;40),"Fail","Pass")</f>
        <v>Pass</v>
      </c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 t="str">
        <f>IF(Student_Data!M442&gt;85,"Topper","Average")</f>
        <v>Average</v>
      </c>
      <c r="B442" s="9" t="str">
        <f>IF(Student_Data!N442&lt;70,"Low","OK")</f>
        <v>OK</v>
      </c>
      <c r="C442" s="9" t="str">
        <f>IF(OR(Student_Data!G442&lt;40,Student_Data!H442&lt;40,Student_Data!I442&lt;40,Student_Data!J442&lt;40,Student_Data!K442&lt;40),"Fail","Pass")</f>
        <v>Pass</v>
      </c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 t="str">
        <f>IF(Student_Data!M443&gt;85,"Topper","Average")</f>
        <v>Average</v>
      </c>
      <c r="B443" s="9" t="str">
        <f>IF(Student_Data!N443&lt;70,"Low","OK")</f>
        <v>OK</v>
      </c>
      <c r="C443" s="9" t="str">
        <f>IF(OR(Student_Data!G443&lt;40,Student_Data!H443&lt;40,Student_Data!I443&lt;40,Student_Data!J443&lt;40,Student_Data!K443&lt;40),"Fail","Pass")</f>
        <v>Pass</v>
      </c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 t="str">
        <f>IF(Student_Data!M444&gt;85,"Topper","Average")</f>
        <v>Average</v>
      </c>
      <c r="B444" s="9" t="str">
        <f>IF(Student_Data!N444&lt;70,"Low","OK")</f>
        <v>OK</v>
      </c>
      <c r="C444" s="9" t="str">
        <f>IF(OR(Student_Data!G444&lt;40,Student_Data!H444&lt;40,Student_Data!I444&lt;40,Student_Data!J444&lt;40,Student_Data!K444&lt;40),"Fail","Pass")</f>
        <v>Pass</v>
      </c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 t="str">
        <f>IF(Student_Data!M445&gt;85,"Topper","Average")</f>
        <v>Average</v>
      </c>
      <c r="B445" s="9" t="str">
        <f>IF(Student_Data!N445&lt;70,"Low","OK")</f>
        <v>Low</v>
      </c>
      <c r="C445" s="9" t="str">
        <f>IF(OR(Student_Data!G445&lt;40,Student_Data!H445&lt;40,Student_Data!I445&lt;40,Student_Data!J445&lt;40,Student_Data!K445&lt;40),"Fail","Pass")</f>
        <v>Pass</v>
      </c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 t="str">
        <f>IF(Student_Data!M446&gt;85,"Topper","Average")</f>
        <v>Average</v>
      </c>
      <c r="B446" s="9" t="str">
        <f>IF(Student_Data!N446&lt;70,"Low","OK")</f>
        <v>OK</v>
      </c>
      <c r="C446" s="9" t="str">
        <f>IF(OR(Student_Data!G446&lt;40,Student_Data!H446&lt;40,Student_Data!I446&lt;40,Student_Data!J446&lt;40,Student_Data!K446&lt;40),"Fail","Pass")</f>
        <v>Pass</v>
      </c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 t="str">
        <f>IF(Student_Data!M447&gt;85,"Topper","Average")</f>
        <v>Average</v>
      </c>
      <c r="B447" s="9" t="str">
        <f>IF(Student_Data!N447&lt;70,"Low","OK")</f>
        <v>OK</v>
      </c>
      <c r="C447" s="9" t="str">
        <f>IF(OR(Student_Data!G447&lt;40,Student_Data!H447&lt;40,Student_Data!I447&lt;40,Student_Data!J447&lt;40,Student_Data!K447&lt;40),"Fail","Pass")</f>
        <v>Pass</v>
      </c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 t="str">
        <f>IF(Student_Data!M448&gt;85,"Topper","Average")</f>
        <v>Average</v>
      </c>
      <c r="B448" s="9" t="str">
        <f>IF(Student_Data!N448&lt;70,"Low","OK")</f>
        <v>OK</v>
      </c>
      <c r="C448" s="9" t="str">
        <f>IF(OR(Student_Data!G448&lt;40,Student_Data!H448&lt;40,Student_Data!I448&lt;40,Student_Data!J448&lt;40,Student_Data!K448&lt;40),"Fail","Pass")</f>
        <v>Pass</v>
      </c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 t="str">
        <f>IF(Student_Data!M449&gt;85,"Topper","Average")</f>
        <v>Average</v>
      </c>
      <c r="B449" s="9" t="str">
        <f>IF(Student_Data!N449&lt;70,"Low","OK")</f>
        <v>OK</v>
      </c>
      <c r="C449" s="9" t="str">
        <f>IF(OR(Student_Data!G449&lt;40,Student_Data!H449&lt;40,Student_Data!I449&lt;40,Student_Data!J449&lt;40,Student_Data!K449&lt;40),"Fail","Pass")</f>
        <v>Pass</v>
      </c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 t="str">
        <f>IF(Student_Data!M450&gt;85,"Topper","Average")</f>
        <v>Average</v>
      </c>
      <c r="B450" s="9" t="str">
        <f>IF(Student_Data!N450&lt;70,"Low","OK")</f>
        <v>OK</v>
      </c>
      <c r="C450" s="9" t="str">
        <f>IF(OR(Student_Data!G450&lt;40,Student_Data!H450&lt;40,Student_Data!I450&lt;40,Student_Data!J450&lt;40,Student_Data!K450&lt;40),"Fail","Pass")</f>
        <v>Pass</v>
      </c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 t="str">
        <f>IF(Student_Data!M451&gt;85,"Topper","Average")</f>
        <v>Average</v>
      </c>
      <c r="B451" s="9" t="str">
        <f>IF(Student_Data!N451&lt;70,"Low","OK")</f>
        <v>OK</v>
      </c>
      <c r="C451" s="9" t="str">
        <f>IF(OR(Student_Data!G451&lt;40,Student_Data!H451&lt;40,Student_Data!I451&lt;40,Student_Data!J451&lt;40,Student_Data!K451&lt;40),"Fail","Pass")</f>
        <v>Pass</v>
      </c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 t="str">
        <f>IF(Student_Data!M452&gt;85,"Topper","Average")</f>
        <v>Average</v>
      </c>
      <c r="B452" s="9" t="str">
        <f>IF(Student_Data!N452&lt;70,"Low","OK")</f>
        <v>Low</v>
      </c>
      <c r="C452" s="9" t="str">
        <f>IF(OR(Student_Data!G452&lt;40,Student_Data!H452&lt;40,Student_Data!I452&lt;40,Student_Data!J452&lt;40,Student_Data!K452&lt;40),"Fail","Pass")</f>
        <v>Pass</v>
      </c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 t="str">
        <f>IF(Student_Data!M453&gt;85,"Topper","Average")</f>
        <v>Average</v>
      </c>
      <c r="B453" s="9" t="str">
        <f>IF(Student_Data!N453&lt;70,"Low","OK")</f>
        <v>OK</v>
      </c>
      <c r="C453" s="9" t="str">
        <f>IF(OR(Student_Data!G453&lt;40,Student_Data!H453&lt;40,Student_Data!I453&lt;40,Student_Data!J453&lt;40,Student_Data!K453&lt;40),"Fail","Pass")</f>
        <v>Pass</v>
      </c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 t="str">
        <f>IF(Student_Data!M454&gt;85,"Topper","Average")</f>
        <v>Average</v>
      </c>
      <c r="B454" s="9" t="str">
        <f>IF(Student_Data!N454&lt;70,"Low","OK")</f>
        <v>OK</v>
      </c>
      <c r="C454" s="9" t="str">
        <f>IF(OR(Student_Data!G454&lt;40,Student_Data!H454&lt;40,Student_Data!I454&lt;40,Student_Data!J454&lt;40,Student_Data!K454&lt;40),"Fail","Pass")</f>
        <v>Pass</v>
      </c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 t="str">
        <f>IF(Student_Data!M455&gt;85,"Topper","Average")</f>
        <v>Average</v>
      </c>
      <c r="B455" s="9" t="str">
        <f>IF(Student_Data!N455&lt;70,"Low","OK")</f>
        <v>OK</v>
      </c>
      <c r="C455" s="9" t="str">
        <f>IF(OR(Student_Data!G455&lt;40,Student_Data!H455&lt;40,Student_Data!I455&lt;40,Student_Data!J455&lt;40,Student_Data!K455&lt;40),"Fail","Pass")</f>
        <v>Pass</v>
      </c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 t="str">
        <f>IF(Student_Data!M456&gt;85,"Topper","Average")</f>
        <v>Average</v>
      </c>
      <c r="B456" s="9" t="str">
        <f>IF(Student_Data!N456&lt;70,"Low","OK")</f>
        <v>OK</v>
      </c>
      <c r="C456" s="9" t="str">
        <f>IF(OR(Student_Data!G456&lt;40,Student_Data!H456&lt;40,Student_Data!I456&lt;40,Student_Data!J456&lt;40,Student_Data!K456&lt;40),"Fail","Pass")</f>
        <v>Pass</v>
      </c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 t="str">
        <f>IF(Student_Data!M457&gt;85,"Topper","Average")</f>
        <v>Average</v>
      </c>
      <c r="B457" s="9" t="str">
        <f>IF(Student_Data!N457&lt;70,"Low","OK")</f>
        <v>OK</v>
      </c>
      <c r="C457" s="9" t="str">
        <f>IF(OR(Student_Data!G457&lt;40,Student_Data!H457&lt;40,Student_Data!I457&lt;40,Student_Data!J457&lt;40,Student_Data!K457&lt;40),"Fail","Pass")</f>
        <v>Pass</v>
      </c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 t="str">
        <f>IF(Student_Data!M458&gt;85,"Topper","Average")</f>
        <v>Average</v>
      </c>
      <c r="B458" s="9" t="str">
        <f>IF(Student_Data!N458&lt;70,"Low","OK")</f>
        <v>Low</v>
      </c>
      <c r="C458" s="9" t="str">
        <f>IF(OR(Student_Data!G458&lt;40,Student_Data!H458&lt;40,Student_Data!I458&lt;40,Student_Data!J458&lt;40,Student_Data!K458&lt;40),"Fail","Pass")</f>
        <v>Pass</v>
      </c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 t="str">
        <f>IF(Student_Data!M459&gt;85,"Topper","Average")</f>
        <v>Average</v>
      </c>
      <c r="B459" s="9" t="str">
        <f>IF(Student_Data!N459&lt;70,"Low","OK")</f>
        <v>OK</v>
      </c>
      <c r="C459" s="9" t="str">
        <f>IF(OR(Student_Data!G459&lt;40,Student_Data!H459&lt;40,Student_Data!I459&lt;40,Student_Data!J459&lt;40,Student_Data!K459&lt;40),"Fail","Pass")</f>
        <v>Pass</v>
      </c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 t="str">
        <f>IF(Student_Data!M460&gt;85,"Topper","Average")</f>
        <v>Average</v>
      </c>
      <c r="B460" s="9" t="str">
        <f>IF(Student_Data!N460&lt;70,"Low","OK")</f>
        <v>Low</v>
      </c>
      <c r="C460" s="9" t="str">
        <f>IF(OR(Student_Data!G460&lt;40,Student_Data!H460&lt;40,Student_Data!I460&lt;40,Student_Data!J460&lt;40,Student_Data!K460&lt;40),"Fail","Pass")</f>
        <v>Pass</v>
      </c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 t="str">
        <f>IF(Student_Data!M461&gt;85,"Topper","Average")</f>
        <v>Average</v>
      </c>
      <c r="B461" s="9" t="str">
        <f>IF(Student_Data!N461&lt;70,"Low","OK")</f>
        <v>OK</v>
      </c>
      <c r="C461" s="9" t="str">
        <f>IF(OR(Student_Data!G461&lt;40,Student_Data!H461&lt;40,Student_Data!I461&lt;40,Student_Data!J461&lt;40,Student_Data!K461&lt;40),"Fail","Pass")</f>
        <v>Pass</v>
      </c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 t="str">
        <f>IF(Student_Data!M462&gt;85,"Topper","Average")</f>
        <v>Average</v>
      </c>
      <c r="B462" s="9" t="str">
        <f>IF(Student_Data!N462&lt;70,"Low","OK")</f>
        <v>OK</v>
      </c>
      <c r="C462" s="9" t="str">
        <f>IF(OR(Student_Data!G462&lt;40,Student_Data!H462&lt;40,Student_Data!I462&lt;40,Student_Data!J462&lt;40,Student_Data!K462&lt;40),"Fail","Pass")</f>
        <v>Pass</v>
      </c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 t="str">
        <f>IF(Student_Data!M463&gt;85,"Topper","Average")</f>
        <v>Average</v>
      </c>
      <c r="B463" s="9" t="str">
        <f>IF(Student_Data!N463&lt;70,"Low","OK")</f>
        <v>Low</v>
      </c>
      <c r="C463" s="9" t="str">
        <f>IF(OR(Student_Data!G463&lt;40,Student_Data!H463&lt;40,Student_Data!I463&lt;40,Student_Data!J463&lt;40,Student_Data!K463&lt;40),"Fail","Pass")</f>
        <v>Pass</v>
      </c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 t="str">
        <f>IF(Student_Data!M464&gt;85,"Topper","Average")</f>
        <v>Average</v>
      </c>
      <c r="B464" s="9" t="str">
        <f>IF(Student_Data!N464&lt;70,"Low","OK")</f>
        <v>OK</v>
      </c>
      <c r="C464" s="9" t="str">
        <f>IF(OR(Student_Data!G464&lt;40,Student_Data!H464&lt;40,Student_Data!I464&lt;40,Student_Data!J464&lt;40,Student_Data!K464&lt;40),"Fail","Pass")</f>
        <v>Pass</v>
      </c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 t="str">
        <f>IF(Student_Data!M465&gt;85,"Topper","Average")</f>
        <v>Average</v>
      </c>
      <c r="B465" s="9" t="str">
        <f>IF(Student_Data!N465&lt;70,"Low","OK")</f>
        <v>OK</v>
      </c>
      <c r="C465" s="9" t="str">
        <f>IF(OR(Student_Data!G465&lt;40,Student_Data!H465&lt;40,Student_Data!I465&lt;40,Student_Data!J465&lt;40,Student_Data!K465&lt;40),"Fail","Pass")</f>
        <v>Pass</v>
      </c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 t="str">
        <f>IF(Student_Data!M466&gt;85,"Topper","Average")</f>
        <v>Average</v>
      </c>
      <c r="B466" s="9" t="str">
        <f>IF(Student_Data!N466&lt;70,"Low","OK")</f>
        <v>OK</v>
      </c>
      <c r="C466" s="9" t="str">
        <f>IF(OR(Student_Data!G466&lt;40,Student_Data!H466&lt;40,Student_Data!I466&lt;40,Student_Data!J466&lt;40,Student_Data!K466&lt;40),"Fail","Pass")</f>
        <v>Pass</v>
      </c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 t="str">
        <f>IF(Student_Data!M467&gt;85,"Topper","Average")</f>
        <v>Average</v>
      </c>
      <c r="B467" s="9" t="str">
        <f>IF(Student_Data!N467&lt;70,"Low","OK")</f>
        <v>OK</v>
      </c>
      <c r="C467" s="9" t="str">
        <f>IF(OR(Student_Data!G467&lt;40,Student_Data!H467&lt;40,Student_Data!I467&lt;40,Student_Data!J467&lt;40,Student_Data!K467&lt;40),"Fail","Pass")</f>
        <v>Pass</v>
      </c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 t="str">
        <f>IF(Student_Data!M468&gt;85,"Topper","Average")</f>
        <v>Average</v>
      </c>
      <c r="B468" s="9" t="str">
        <f>IF(Student_Data!N468&lt;70,"Low","OK")</f>
        <v>OK</v>
      </c>
      <c r="C468" s="9" t="str">
        <f>IF(OR(Student_Data!G468&lt;40,Student_Data!H468&lt;40,Student_Data!I468&lt;40,Student_Data!J468&lt;40,Student_Data!K468&lt;40),"Fail","Pass")</f>
        <v>Pass</v>
      </c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 t="str">
        <f>IF(Student_Data!M469&gt;85,"Topper","Average")</f>
        <v>Average</v>
      </c>
      <c r="B469" s="9" t="str">
        <f>IF(Student_Data!N469&lt;70,"Low","OK")</f>
        <v>OK</v>
      </c>
      <c r="C469" s="9" t="str">
        <f>IF(OR(Student_Data!G469&lt;40,Student_Data!H469&lt;40,Student_Data!I469&lt;40,Student_Data!J469&lt;40,Student_Data!K469&lt;40),"Fail","Pass")</f>
        <v>Pass</v>
      </c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 t="str">
        <f>IF(Student_Data!M470&gt;85,"Topper","Average")</f>
        <v>Average</v>
      </c>
      <c r="B470" s="9" t="str">
        <f>IF(Student_Data!N470&lt;70,"Low","OK")</f>
        <v>OK</v>
      </c>
      <c r="C470" s="9" t="str">
        <f>IF(OR(Student_Data!G470&lt;40,Student_Data!H470&lt;40,Student_Data!I470&lt;40,Student_Data!J470&lt;40,Student_Data!K470&lt;40),"Fail","Pass")</f>
        <v>Pass</v>
      </c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 t="str">
        <f>IF(Student_Data!M471&gt;85,"Topper","Average")</f>
        <v>Average</v>
      </c>
      <c r="B471" s="9" t="str">
        <f>IF(Student_Data!N471&lt;70,"Low","OK")</f>
        <v>OK</v>
      </c>
      <c r="C471" s="9" t="str">
        <f>IF(OR(Student_Data!G471&lt;40,Student_Data!H471&lt;40,Student_Data!I471&lt;40,Student_Data!J471&lt;40,Student_Data!K471&lt;40),"Fail","Pass")</f>
        <v>Pass</v>
      </c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 t="str">
        <f>IF(Student_Data!M472&gt;85,"Topper","Average")</f>
        <v>Average</v>
      </c>
      <c r="B472" s="9" t="str">
        <f>IF(Student_Data!N472&lt;70,"Low","OK")</f>
        <v>OK</v>
      </c>
      <c r="C472" s="9" t="str">
        <f>IF(OR(Student_Data!G472&lt;40,Student_Data!H472&lt;40,Student_Data!I472&lt;40,Student_Data!J472&lt;40,Student_Data!K472&lt;40),"Fail","Pass")</f>
        <v>Pass</v>
      </c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 t="str">
        <f>IF(Student_Data!M473&gt;85,"Topper","Average")</f>
        <v>Average</v>
      </c>
      <c r="B473" s="9" t="str">
        <f>IF(Student_Data!N473&lt;70,"Low","OK")</f>
        <v>Low</v>
      </c>
      <c r="C473" s="9" t="str">
        <f>IF(OR(Student_Data!G473&lt;40,Student_Data!H473&lt;40,Student_Data!I473&lt;40,Student_Data!J473&lt;40,Student_Data!K473&lt;40),"Fail","Pass")</f>
        <v>Pass</v>
      </c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 t="str">
        <f>IF(Student_Data!M474&gt;85,"Topper","Average")</f>
        <v>Average</v>
      </c>
      <c r="B474" s="9" t="str">
        <f>IF(Student_Data!N474&lt;70,"Low","OK")</f>
        <v>OK</v>
      </c>
      <c r="C474" s="9" t="str">
        <f>IF(OR(Student_Data!G474&lt;40,Student_Data!H474&lt;40,Student_Data!I474&lt;40,Student_Data!J474&lt;40,Student_Data!K474&lt;40),"Fail","Pass")</f>
        <v>Pass</v>
      </c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 t="str">
        <f>IF(Student_Data!M475&gt;85,"Topper","Average")</f>
        <v>Average</v>
      </c>
      <c r="B475" s="9" t="str">
        <f>IF(Student_Data!N475&lt;70,"Low","OK")</f>
        <v>OK</v>
      </c>
      <c r="C475" s="9" t="str">
        <f>IF(OR(Student_Data!G475&lt;40,Student_Data!H475&lt;40,Student_Data!I475&lt;40,Student_Data!J475&lt;40,Student_Data!K475&lt;40),"Fail","Pass")</f>
        <v>Pass</v>
      </c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 t="str">
        <f>IF(Student_Data!M476&gt;85,"Topper","Average")</f>
        <v>Average</v>
      </c>
      <c r="B476" s="9" t="str">
        <f>IF(Student_Data!N476&lt;70,"Low","OK")</f>
        <v>OK</v>
      </c>
      <c r="C476" s="9" t="str">
        <f>IF(OR(Student_Data!G476&lt;40,Student_Data!H476&lt;40,Student_Data!I476&lt;40,Student_Data!J476&lt;40,Student_Data!K476&lt;40),"Fail","Pass")</f>
        <v>Pass</v>
      </c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 t="str">
        <f>IF(Student_Data!M477&gt;85,"Topper","Average")</f>
        <v>Average</v>
      </c>
      <c r="B477" s="9" t="str">
        <f>IF(Student_Data!N477&lt;70,"Low","OK")</f>
        <v>OK</v>
      </c>
      <c r="C477" s="9" t="str">
        <f>IF(OR(Student_Data!G477&lt;40,Student_Data!H477&lt;40,Student_Data!I477&lt;40,Student_Data!J477&lt;40,Student_Data!K477&lt;40),"Fail","Pass")</f>
        <v>Pass</v>
      </c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 t="str">
        <f>IF(Student_Data!M478&gt;85,"Topper","Average")</f>
        <v>Average</v>
      </c>
      <c r="B478" s="9" t="str">
        <f>IF(Student_Data!N478&lt;70,"Low","OK")</f>
        <v>OK</v>
      </c>
      <c r="C478" s="9" t="str">
        <f>IF(OR(Student_Data!G478&lt;40,Student_Data!H478&lt;40,Student_Data!I478&lt;40,Student_Data!J478&lt;40,Student_Data!K478&lt;40),"Fail","Pass")</f>
        <v>Pass</v>
      </c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 t="str">
        <f>IF(Student_Data!M479&gt;85,"Topper","Average")</f>
        <v>Average</v>
      </c>
      <c r="B479" s="9" t="str">
        <f>IF(Student_Data!N479&lt;70,"Low","OK")</f>
        <v>OK</v>
      </c>
      <c r="C479" s="9" t="str">
        <f>IF(OR(Student_Data!G479&lt;40,Student_Data!H479&lt;40,Student_Data!I479&lt;40,Student_Data!J479&lt;40,Student_Data!K479&lt;40),"Fail","Pass")</f>
        <v>Pass</v>
      </c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 t="str">
        <f>IF(Student_Data!M480&gt;85,"Topper","Average")</f>
        <v>Average</v>
      </c>
      <c r="B480" s="9" t="str">
        <f>IF(Student_Data!N480&lt;70,"Low","OK")</f>
        <v>OK</v>
      </c>
      <c r="C480" s="9" t="str">
        <f>IF(OR(Student_Data!G480&lt;40,Student_Data!H480&lt;40,Student_Data!I480&lt;40,Student_Data!J480&lt;40,Student_Data!K480&lt;40),"Fail","Pass")</f>
        <v>Pass</v>
      </c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 t="str">
        <f>IF(Student_Data!M481&gt;85,"Topper","Average")</f>
        <v>Average</v>
      </c>
      <c r="B481" s="9" t="str">
        <f>IF(Student_Data!N481&lt;70,"Low","OK")</f>
        <v>Low</v>
      </c>
      <c r="C481" s="9" t="str">
        <f>IF(OR(Student_Data!G481&lt;40,Student_Data!H481&lt;40,Student_Data!I481&lt;40,Student_Data!J481&lt;40,Student_Data!K481&lt;40),"Fail","Pass")</f>
        <v>Pass</v>
      </c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 t="str">
        <f>IF(Student_Data!M482&gt;85,"Topper","Average")</f>
        <v>Average</v>
      </c>
      <c r="B482" s="9" t="str">
        <f>IF(Student_Data!N482&lt;70,"Low","OK")</f>
        <v>OK</v>
      </c>
      <c r="C482" s="9" t="str">
        <f>IF(OR(Student_Data!G482&lt;40,Student_Data!H482&lt;40,Student_Data!I482&lt;40,Student_Data!J482&lt;40,Student_Data!K482&lt;40),"Fail","Pass")</f>
        <v>Pass</v>
      </c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 t="str">
        <f>IF(Student_Data!M483&gt;85,"Topper","Average")</f>
        <v>Average</v>
      </c>
      <c r="B483" s="9" t="str">
        <f>IF(Student_Data!N483&lt;70,"Low","OK")</f>
        <v>OK</v>
      </c>
      <c r="C483" s="9" t="str">
        <f>IF(OR(Student_Data!G483&lt;40,Student_Data!H483&lt;40,Student_Data!I483&lt;40,Student_Data!J483&lt;40,Student_Data!K483&lt;40),"Fail","Pass")</f>
        <v>Pass</v>
      </c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 t="str">
        <f>IF(Student_Data!M484&gt;85,"Topper","Average")</f>
        <v>Average</v>
      </c>
      <c r="B484" s="9" t="str">
        <f>IF(Student_Data!N484&lt;70,"Low","OK")</f>
        <v>Low</v>
      </c>
      <c r="C484" s="9" t="str">
        <f>IF(OR(Student_Data!G484&lt;40,Student_Data!H484&lt;40,Student_Data!I484&lt;40,Student_Data!J484&lt;40,Student_Data!K484&lt;40),"Fail","Pass")</f>
        <v>Pass</v>
      </c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 t="str">
        <f>IF(Student_Data!M485&gt;85,"Topper","Average")</f>
        <v>Average</v>
      </c>
      <c r="B485" s="9" t="str">
        <f>IF(Student_Data!N485&lt;70,"Low","OK")</f>
        <v>OK</v>
      </c>
      <c r="C485" s="9" t="str">
        <f>IF(OR(Student_Data!G485&lt;40,Student_Data!H485&lt;40,Student_Data!I485&lt;40,Student_Data!J485&lt;40,Student_Data!K485&lt;40),"Fail","Pass")</f>
        <v>Pass</v>
      </c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 t="str">
        <f>IF(Student_Data!M486&gt;85,"Topper","Average")</f>
        <v>Average</v>
      </c>
      <c r="B486" s="9" t="str">
        <f>IF(Student_Data!N486&lt;70,"Low","OK")</f>
        <v>OK</v>
      </c>
      <c r="C486" s="9" t="str">
        <f>IF(OR(Student_Data!G486&lt;40,Student_Data!H486&lt;40,Student_Data!I486&lt;40,Student_Data!J486&lt;40,Student_Data!K486&lt;40),"Fail","Pass")</f>
        <v>Pass</v>
      </c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 t="str">
        <f>IF(Student_Data!M487&gt;85,"Topper","Average")</f>
        <v>Average</v>
      </c>
      <c r="B487" s="9" t="str">
        <f>IF(Student_Data!N487&lt;70,"Low","OK")</f>
        <v>OK</v>
      </c>
      <c r="C487" s="9" t="str">
        <f>IF(OR(Student_Data!G487&lt;40,Student_Data!H487&lt;40,Student_Data!I487&lt;40,Student_Data!J487&lt;40,Student_Data!K487&lt;40),"Fail","Pass")</f>
        <v>Pass</v>
      </c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 t="str">
        <f>IF(Student_Data!M488&gt;85,"Topper","Average")</f>
        <v>Average</v>
      </c>
      <c r="B488" s="9" t="str">
        <f>IF(Student_Data!N488&lt;70,"Low","OK")</f>
        <v>OK</v>
      </c>
      <c r="C488" s="9" t="str">
        <f>IF(OR(Student_Data!G488&lt;40,Student_Data!H488&lt;40,Student_Data!I488&lt;40,Student_Data!J488&lt;40,Student_Data!K488&lt;40),"Fail","Pass")</f>
        <v>Pass</v>
      </c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 t="str">
        <f>IF(Student_Data!M489&gt;85,"Topper","Average")</f>
        <v>Average</v>
      </c>
      <c r="B489" s="9" t="str">
        <f>IF(Student_Data!N489&lt;70,"Low","OK")</f>
        <v>Low</v>
      </c>
      <c r="C489" s="9" t="str">
        <f>IF(OR(Student_Data!G489&lt;40,Student_Data!H489&lt;40,Student_Data!I489&lt;40,Student_Data!J489&lt;40,Student_Data!K489&lt;40),"Fail","Pass")</f>
        <v>Pass</v>
      </c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 t="str">
        <f>IF(Student_Data!M490&gt;85,"Topper","Average")</f>
        <v>Average</v>
      </c>
      <c r="B490" s="9" t="str">
        <f>IF(Student_Data!N490&lt;70,"Low","OK")</f>
        <v>Low</v>
      </c>
      <c r="C490" s="9" t="str">
        <f>IF(OR(Student_Data!G490&lt;40,Student_Data!H490&lt;40,Student_Data!I490&lt;40,Student_Data!J490&lt;40,Student_Data!K490&lt;40),"Fail","Pass")</f>
        <v>Pass</v>
      </c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 t="str">
        <f>IF(Student_Data!M491&gt;85,"Topper","Average")</f>
        <v>Average</v>
      </c>
      <c r="B491" s="9" t="str">
        <f>IF(Student_Data!N491&lt;70,"Low","OK")</f>
        <v>OK</v>
      </c>
      <c r="C491" s="9" t="str">
        <f>IF(OR(Student_Data!G491&lt;40,Student_Data!H491&lt;40,Student_Data!I491&lt;40,Student_Data!J491&lt;40,Student_Data!K491&lt;40),"Fail","Pass")</f>
        <v>Pass</v>
      </c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 t="str">
        <f>IF(Student_Data!M492&gt;85,"Topper","Average")</f>
        <v>Average</v>
      </c>
      <c r="B492" s="9" t="str">
        <f>IF(Student_Data!N492&lt;70,"Low","OK")</f>
        <v>Low</v>
      </c>
      <c r="C492" s="9" t="str">
        <f>IF(OR(Student_Data!G492&lt;40,Student_Data!H492&lt;40,Student_Data!I492&lt;40,Student_Data!J492&lt;40,Student_Data!K492&lt;40),"Fail","Pass")</f>
        <v>Pass</v>
      </c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 t="str">
        <f>IF(Student_Data!M493&gt;85,"Topper","Average")</f>
        <v>Average</v>
      </c>
      <c r="B493" s="9" t="str">
        <f>IF(Student_Data!N493&lt;70,"Low","OK")</f>
        <v>Low</v>
      </c>
      <c r="C493" s="9" t="str">
        <f>IF(OR(Student_Data!G493&lt;40,Student_Data!H493&lt;40,Student_Data!I493&lt;40,Student_Data!J493&lt;40,Student_Data!K493&lt;40),"Fail","Pass")</f>
        <v>Pass</v>
      </c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 t="str">
        <f>IF(Student_Data!M494&gt;85,"Topper","Average")</f>
        <v>Average</v>
      </c>
      <c r="B494" s="9" t="str">
        <f>IF(Student_Data!N494&lt;70,"Low","OK")</f>
        <v>OK</v>
      </c>
      <c r="C494" s="9" t="str">
        <f>IF(OR(Student_Data!G494&lt;40,Student_Data!H494&lt;40,Student_Data!I494&lt;40,Student_Data!J494&lt;40,Student_Data!K494&lt;40),"Fail","Pass")</f>
        <v>Pass</v>
      </c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 t="str">
        <f>IF(Student_Data!M495&gt;85,"Topper","Average")</f>
        <v>Average</v>
      </c>
      <c r="B495" s="9" t="str">
        <f>IF(Student_Data!N495&lt;70,"Low","OK")</f>
        <v>Low</v>
      </c>
      <c r="C495" s="9" t="str">
        <f>IF(OR(Student_Data!G495&lt;40,Student_Data!H495&lt;40,Student_Data!I495&lt;40,Student_Data!J495&lt;40,Student_Data!K495&lt;40),"Fail","Pass")</f>
        <v>Pass</v>
      </c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 t="str">
        <f>IF(Student_Data!M496&gt;85,"Topper","Average")</f>
        <v>Average</v>
      </c>
      <c r="B496" s="9" t="str">
        <f>IF(Student_Data!N496&lt;70,"Low","OK")</f>
        <v>OK</v>
      </c>
      <c r="C496" s="9" t="str">
        <f>IF(OR(Student_Data!G496&lt;40,Student_Data!H496&lt;40,Student_Data!I496&lt;40,Student_Data!J496&lt;40,Student_Data!K496&lt;40),"Fail","Pass")</f>
        <v>Pass</v>
      </c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 t="str">
        <f>IF(Student_Data!M497&gt;85,"Topper","Average")</f>
        <v>Average</v>
      </c>
      <c r="B497" s="9" t="str">
        <f>IF(Student_Data!N497&lt;70,"Low","OK")</f>
        <v>OK</v>
      </c>
      <c r="C497" s="9" t="str">
        <f>IF(OR(Student_Data!G497&lt;40,Student_Data!H497&lt;40,Student_Data!I497&lt;40,Student_Data!J497&lt;40,Student_Data!K497&lt;40),"Fail","Pass")</f>
        <v>Pass</v>
      </c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 t="str">
        <f>IF(Student_Data!M498&gt;85,"Topper","Average")</f>
        <v>Average</v>
      </c>
      <c r="B498" s="9" t="str">
        <f>IF(Student_Data!N498&lt;70,"Low","OK")</f>
        <v>OK</v>
      </c>
      <c r="C498" s="9" t="str">
        <f>IF(OR(Student_Data!G498&lt;40,Student_Data!H498&lt;40,Student_Data!I498&lt;40,Student_Data!J498&lt;40,Student_Data!K498&lt;40),"Fail","Pass")</f>
        <v>Pass</v>
      </c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 t="str">
        <f>IF(Student_Data!M499&gt;85,"Topper","Average")</f>
        <v>Average</v>
      </c>
      <c r="B499" s="9" t="str">
        <f>IF(Student_Data!N499&lt;70,"Low","OK")</f>
        <v>OK</v>
      </c>
      <c r="C499" s="9" t="str">
        <f>IF(OR(Student_Data!G499&lt;40,Student_Data!H499&lt;40,Student_Data!I499&lt;40,Student_Data!J499&lt;40,Student_Data!K499&lt;40),"Fail","Pass")</f>
        <v>Pass</v>
      </c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 t="str">
        <f>IF(Student_Data!M500&gt;85,"Topper","Average")</f>
        <v>Average</v>
      </c>
      <c r="B500" s="9" t="str">
        <f>IF(Student_Data!N500&lt;70,"Low","OK")</f>
        <v>Low</v>
      </c>
      <c r="C500" s="9" t="str">
        <f>IF(OR(Student_Data!G500&lt;40,Student_Data!H500&lt;40,Student_Data!I500&lt;40,Student_Data!J500&lt;40,Student_Data!K500&lt;40),"Fail","Pass")</f>
        <v>Pass</v>
      </c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 t="str">
        <f>IF(Student_Data!M501&gt;85,"Topper","Average")</f>
        <v>Average</v>
      </c>
      <c r="B501" s="9" t="str">
        <f>IF(Student_Data!N501&lt;70,"Low","OK")</f>
        <v>OK</v>
      </c>
      <c r="C501" s="9" t="str">
        <f>IF(OR(Student_Data!G501&lt;40,Student_Data!H501&lt;40,Student_Data!I501&lt;40,Student_Data!J501&lt;40,Student_Data!K501&lt;40),"Fail","Pass")</f>
        <v>Pass</v>
      </c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3.71"/>
    <col customWidth="1" min="2" max="2" width="15.14"/>
  </cols>
  <sheetData>
    <row r="1">
      <c r="A1" s="11" t="s">
        <v>794</v>
      </c>
      <c r="B1" s="12" t="str">
        <f t="array" ref="B1:O1">XLOOKUP("*"&amp;A2,Student_Data!A2:A501,Student_Data!B2:O501,"Not Found",2)</f>
        <v>Priya Choudhary</v>
      </c>
      <c r="C1" s="12" t="s">
        <v>17</v>
      </c>
      <c r="D1" s="12" t="s">
        <v>18</v>
      </c>
      <c r="E1" s="12" t="s">
        <v>19</v>
      </c>
      <c r="F1" s="12" t="s">
        <v>20</v>
      </c>
      <c r="G1" s="12">
        <v>45.0</v>
      </c>
      <c r="H1" s="12">
        <v>97.0</v>
      </c>
      <c r="I1" s="12">
        <v>58.0</v>
      </c>
      <c r="J1" s="12">
        <v>76.0</v>
      </c>
      <c r="K1" s="12">
        <v>71.0</v>
      </c>
      <c r="L1" s="12">
        <v>347.0</v>
      </c>
      <c r="M1" s="12">
        <v>39.4</v>
      </c>
      <c r="N1" s="12">
        <v>84.0</v>
      </c>
      <c r="O1" s="12" t="s">
        <v>21</v>
      </c>
    </row>
    <row r="2">
      <c r="A2" s="9"/>
      <c r="B2" s="9"/>
    </row>
    <row r="3">
      <c r="A3" s="8" t="s">
        <v>795</v>
      </c>
      <c r="B3" s="9">
        <f t="array" ref="B3">XLOOKUP("*"&amp;A2,Student_Data!A2:A501,Student_Data!M2:M501,"Not Found",2)</f>
        <v>39.4</v>
      </c>
    </row>
    <row r="4">
      <c r="A4" s="9"/>
      <c r="B4" s="9"/>
    </row>
    <row r="5">
      <c r="A5" s="13" t="s">
        <v>796</v>
      </c>
      <c r="B5" s="14" t="str">
        <f t="array" ref="B5">XLOOKUP("*"&amp;A2,Student_Data!A2:A501,Student_Data!F2:F501,"Not Found",2)</f>
        <v>Chandigarh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1.57"/>
    <col customWidth="1" min="2" max="2" width="10.43"/>
    <col customWidth="1" min="3" max="3" width="23.29"/>
    <col customWidth="1" min="4" max="4" width="10.43"/>
    <col customWidth="1" min="5" max="7" width="8.71"/>
    <col customWidth="1" min="8" max="8" width="10.57"/>
    <col customWidth="1" min="9" max="19" width="8.71"/>
  </cols>
  <sheetData>
    <row r="1">
      <c r="A1" s="15" t="s">
        <v>797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11</v>
      </c>
      <c r="H1" s="16" t="s">
        <v>12</v>
      </c>
      <c r="I1" s="16"/>
    </row>
    <row r="2" hidden="1">
      <c r="B2" s="17" t="s">
        <v>15</v>
      </c>
      <c r="C2" s="17" t="s">
        <v>16</v>
      </c>
      <c r="D2" s="18" t="s">
        <v>17</v>
      </c>
      <c r="E2" s="17" t="s">
        <v>18</v>
      </c>
      <c r="F2" s="17" t="s">
        <v>19</v>
      </c>
      <c r="G2" s="17">
        <v>347.0</v>
      </c>
      <c r="H2" s="18">
        <v>39.4</v>
      </c>
      <c r="I2" s="17"/>
    </row>
    <row r="3" hidden="1">
      <c r="B3" s="19" t="s">
        <v>22</v>
      </c>
      <c r="C3" s="19" t="s">
        <v>23</v>
      </c>
      <c r="D3" s="19" t="s">
        <v>24</v>
      </c>
      <c r="E3" s="19" t="s">
        <v>25</v>
      </c>
      <c r="F3" s="19" t="s">
        <v>26</v>
      </c>
      <c r="G3" s="19">
        <v>379.0</v>
      </c>
      <c r="H3" s="20">
        <v>85.8</v>
      </c>
      <c r="I3" s="19"/>
    </row>
    <row r="4" hidden="1">
      <c r="B4" s="17" t="s">
        <v>28</v>
      </c>
      <c r="C4" s="17" t="s">
        <v>29</v>
      </c>
      <c r="D4" s="17" t="s">
        <v>24</v>
      </c>
      <c r="E4" s="17" t="s">
        <v>30</v>
      </c>
      <c r="F4" s="17" t="s">
        <v>26</v>
      </c>
      <c r="G4" s="17">
        <v>300.0</v>
      </c>
      <c r="H4" s="18">
        <v>20.0</v>
      </c>
      <c r="I4" s="17"/>
    </row>
    <row r="5" hidden="1">
      <c r="B5" s="19" t="s">
        <v>31</v>
      </c>
      <c r="C5" s="19" t="s">
        <v>32</v>
      </c>
      <c r="D5" s="19" t="s">
        <v>17</v>
      </c>
      <c r="E5" s="19" t="s">
        <v>30</v>
      </c>
      <c r="F5" s="19" t="s">
        <v>26</v>
      </c>
      <c r="G5" s="19">
        <v>372.0</v>
      </c>
      <c r="H5" s="19">
        <v>74.4</v>
      </c>
      <c r="I5" s="19"/>
    </row>
    <row r="6" hidden="1">
      <c r="B6" s="17" t="s">
        <v>33</v>
      </c>
      <c r="C6" s="17" t="s">
        <v>34</v>
      </c>
      <c r="D6" s="17" t="s">
        <v>24</v>
      </c>
      <c r="E6" s="17" t="s">
        <v>30</v>
      </c>
      <c r="F6" s="17" t="s">
        <v>26</v>
      </c>
      <c r="G6" s="17">
        <v>344.0</v>
      </c>
      <c r="H6" s="17">
        <v>68.8</v>
      </c>
      <c r="I6" s="17"/>
    </row>
    <row r="7" hidden="1">
      <c r="B7" s="19" t="s">
        <v>35</v>
      </c>
      <c r="C7" s="19" t="s">
        <v>36</v>
      </c>
      <c r="D7" s="19" t="s">
        <v>17</v>
      </c>
      <c r="E7" s="19" t="s">
        <v>25</v>
      </c>
      <c r="F7" s="19" t="s">
        <v>26</v>
      </c>
      <c r="G7" s="19">
        <v>348.0</v>
      </c>
      <c r="H7" s="20">
        <v>89.6</v>
      </c>
      <c r="I7" s="19"/>
    </row>
    <row r="8" hidden="1">
      <c r="B8" s="17" t="s">
        <v>38</v>
      </c>
      <c r="C8" s="17" t="s">
        <v>39</v>
      </c>
      <c r="D8" s="17" t="s">
        <v>24</v>
      </c>
      <c r="E8" s="17" t="s">
        <v>40</v>
      </c>
      <c r="F8" s="17" t="s">
        <v>26</v>
      </c>
      <c r="G8" s="17">
        <v>364.0</v>
      </c>
      <c r="H8" s="18">
        <v>82.8</v>
      </c>
      <c r="I8" s="17"/>
    </row>
    <row r="9" hidden="1">
      <c r="B9" s="19" t="s">
        <v>42</v>
      </c>
      <c r="C9" s="19" t="s">
        <v>43</v>
      </c>
      <c r="D9" s="19" t="s">
        <v>24</v>
      </c>
      <c r="E9" s="19" t="s">
        <v>25</v>
      </c>
      <c r="F9" s="19" t="s">
        <v>26</v>
      </c>
      <c r="G9" s="19">
        <v>316.0</v>
      </c>
      <c r="H9" s="19">
        <v>63.2</v>
      </c>
      <c r="I9" s="19"/>
    </row>
    <row r="10" hidden="1">
      <c r="B10" s="17" t="s">
        <v>45</v>
      </c>
      <c r="C10" s="17" t="s">
        <v>46</v>
      </c>
      <c r="D10" s="17" t="s">
        <v>24</v>
      </c>
      <c r="E10" s="17" t="s">
        <v>40</v>
      </c>
      <c r="F10" s="17" t="s">
        <v>47</v>
      </c>
      <c r="G10" s="17">
        <v>312.0</v>
      </c>
      <c r="H10" s="18">
        <v>92.4</v>
      </c>
      <c r="I10" s="17"/>
    </row>
    <row r="11" hidden="1">
      <c r="B11" s="19" t="s">
        <v>48</v>
      </c>
      <c r="C11" s="19" t="s">
        <v>49</v>
      </c>
      <c r="D11" s="19" t="s">
        <v>17</v>
      </c>
      <c r="E11" s="19" t="s">
        <v>18</v>
      </c>
      <c r="F11" s="19" t="s">
        <v>19</v>
      </c>
      <c r="G11" s="19">
        <v>353.0</v>
      </c>
      <c r="H11" s="19">
        <v>70.6</v>
      </c>
      <c r="I11" s="19"/>
    </row>
    <row r="12" hidden="1">
      <c r="B12" s="17" t="s">
        <v>50</v>
      </c>
      <c r="C12" s="17" t="s">
        <v>51</v>
      </c>
      <c r="D12" s="17" t="s">
        <v>24</v>
      </c>
      <c r="E12" s="17" t="s">
        <v>25</v>
      </c>
      <c r="F12" s="17" t="s">
        <v>26</v>
      </c>
      <c r="G12" s="17">
        <v>278.0</v>
      </c>
      <c r="H12" s="18">
        <v>25.6</v>
      </c>
      <c r="I12" s="17"/>
    </row>
    <row r="13" hidden="1">
      <c r="B13" s="19" t="s">
        <v>52</v>
      </c>
      <c r="C13" s="19" t="s">
        <v>53</v>
      </c>
      <c r="D13" s="19" t="s">
        <v>17</v>
      </c>
      <c r="E13" s="19" t="s">
        <v>54</v>
      </c>
      <c r="F13" s="19" t="s">
        <v>19</v>
      </c>
      <c r="G13" s="19">
        <v>309.0</v>
      </c>
      <c r="H13" s="19">
        <v>61.8</v>
      </c>
      <c r="I13" s="19"/>
    </row>
    <row r="14" hidden="1">
      <c r="B14" s="17" t="s">
        <v>56</v>
      </c>
      <c r="C14" s="17" t="s">
        <v>57</v>
      </c>
      <c r="D14" s="17" t="s">
        <v>17</v>
      </c>
      <c r="E14" s="17" t="s">
        <v>30</v>
      </c>
      <c r="F14" s="17" t="s">
        <v>47</v>
      </c>
      <c r="G14" s="17">
        <v>297.0</v>
      </c>
      <c r="H14" s="17">
        <v>59.4</v>
      </c>
      <c r="I14" s="17"/>
    </row>
    <row r="15">
      <c r="A15" s="15" t="s">
        <v>798</v>
      </c>
      <c r="B15" s="19" t="s">
        <v>58</v>
      </c>
      <c r="C15" s="19" t="s">
        <v>59</v>
      </c>
      <c r="D15" s="19" t="s">
        <v>17</v>
      </c>
      <c r="E15" s="19" t="s">
        <v>40</v>
      </c>
      <c r="F15" s="19" t="s">
        <v>26</v>
      </c>
      <c r="G15" s="19">
        <v>339.0</v>
      </c>
      <c r="H15" s="20">
        <v>97.8</v>
      </c>
      <c r="I15" s="19"/>
    </row>
    <row r="16" hidden="1">
      <c r="B16" s="17" t="s">
        <v>60</v>
      </c>
      <c r="C16" s="17" t="s">
        <v>61</v>
      </c>
      <c r="D16" s="17" t="s">
        <v>24</v>
      </c>
      <c r="E16" s="17" t="s">
        <v>25</v>
      </c>
      <c r="F16" s="17" t="s">
        <v>19</v>
      </c>
      <c r="G16" s="17">
        <v>345.0</v>
      </c>
      <c r="H16" s="17">
        <v>69.0</v>
      </c>
      <c r="I16" s="17"/>
    </row>
    <row r="17" hidden="1">
      <c r="B17" s="19" t="s">
        <v>63</v>
      </c>
      <c r="C17" s="19" t="s">
        <v>64</v>
      </c>
      <c r="D17" s="19" t="s">
        <v>17</v>
      </c>
      <c r="E17" s="19" t="s">
        <v>25</v>
      </c>
      <c r="F17" s="19" t="s">
        <v>26</v>
      </c>
      <c r="G17" s="19">
        <v>305.0</v>
      </c>
      <c r="H17" s="19">
        <v>61.0</v>
      </c>
      <c r="I17" s="19"/>
    </row>
    <row r="18" hidden="1">
      <c r="B18" s="17" t="s">
        <v>65</v>
      </c>
      <c r="C18" s="17" t="s">
        <v>66</v>
      </c>
      <c r="D18" s="17" t="s">
        <v>24</v>
      </c>
      <c r="E18" s="17" t="s">
        <v>54</v>
      </c>
      <c r="F18" s="17" t="s">
        <v>26</v>
      </c>
      <c r="G18" s="17">
        <v>365.0</v>
      </c>
      <c r="H18" s="17">
        <v>73.0</v>
      </c>
      <c r="I18" s="17"/>
    </row>
    <row r="19" hidden="1">
      <c r="B19" s="19" t="s">
        <v>67</v>
      </c>
      <c r="C19" s="19" t="s">
        <v>68</v>
      </c>
      <c r="D19" s="19" t="s">
        <v>17</v>
      </c>
      <c r="E19" s="19" t="s">
        <v>40</v>
      </c>
      <c r="F19" s="19" t="s">
        <v>47</v>
      </c>
      <c r="G19" s="19">
        <v>379.0</v>
      </c>
      <c r="H19" s="19">
        <v>75.8</v>
      </c>
      <c r="I19" s="19"/>
    </row>
    <row r="20" hidden="1">
      <c r="B20" s="17" t="s">
        <v>69</v>
      </c>
      <c r="C20" s="17" t="s">
        <v>70</v>
      </c>
      <c r="D20" s="17" t="s">
        <v>24</v>
      </c>
      <c r="E20" s="17" t="s">
        <v>54</v>
      </c>
      <c r="F20" s="17" t="s">
        <v>47</v>
      </c>
      <c r="G20" s="17">
        <v>403.0</v>
      </c>
      <c r="H20" s="17">
        <v>80.6</v>
      </c>
      <c r="I20" s="17"/>
    </row>
    <row r="21" ht="15.75" hidden="1" customHeight="1">
      <c r="B21" s="19" t="s">
        <v>71</v>
      </c>
      <c r="C21" s="19" t="s">
        <v>72</v>
      </c>
      <c r="D21" s="19" t="s">
        <v>17</v>
      </c>
      <c r="E21" s="19" t="s">
        <v>40</v>
      </c>
      <c r="F21" s="19" t="s">
        <v>47</v>
      </c>
      <c r="G21" s="19">
        <v>364.0</v>
      </c>
      <c r="H21" s="19">
        <v>72.8</v>
      </c>
      <c r="I21" s="19"/>
    </row>
    <row r="22" ht="15.75" hidden="1" customHeight="1">
      <c r="B22" s="17" t="s">
        <v>73</v>
      </c>
      <c r="C22" s="17" t="s">
        <v>74</v>
      </c>
      <c r="D22" s="17" t="s">
        <v>17</v>
      </c>
      <c r="E22" s="17" t="s">
        <v>40</v>
      </c>
      <c r="F22" s="17" t="s">
        <v>26</v>
      </c>
      <c r="G22" s="17">
        <v>315.0</v>
      </c>
      <c r="H22" s="17">
        <v>63.0</v>
      </c>
      <c r="I22" s="17"/>
    </row>
    <row r="23" ht="15.75" hidden="1" customHeight="1">
      <c r="B23" s="19" t="s">
        <v>75</v>
      </c>
      <c r="C23" s="19" t="s">
        <v>76</v>
      </c>
      <c r="D23" s="19" t="s">
        <v>24</v>
      </c>
      <c r="E23" s="19" t="s">
        <v>18</v>
      </c>
      <c r="F23" s="19" t="s">
        <v>19</v>
      </c>
      <c r="G23" s="19">
        <v>338.0</v>
      </c>
      <c r="H23" s="19">
        <v>67.6</v>
      </c>
      <c r="I23" s="19"/>
    </row>
    <row r="24" ht="15.75" hidden="1" customHeight="1">
      <c r="B24" s="17" t="s">
        <v>78</v>
      </c>
      <c r="C24" s="17" t="s">
        <v>79</v>
      </c>
      <c r="D24" s="17" t="s">
        <v>24</v>
      </c>
      <c r="E24" s="17" t="s">
        <v>18</v>
      </c>
      <c r="F24" s="17" t="s">
        <v>19</v>
      </c>
      <c r="G24" s="17">
        <v>390.0</v>
      </c>
      <c r="H24" s="17">
        <v>78.0</v>
      </c>
      <c r="I24" s="17"/>
    </row>
    <row r="25" ht="15.75" hidden="1" customHeight="1">
      <c r="B25" s="19" t="s">
        <v>80</v>
      </c>
      <c r="C25" s="19" t="s">
        <v>81</v>
      </c>
      <c r="D25" s="19" t="s">
        <v>24</v>
      </c>
      <c r="E25" s="19" t="s">
        <v>54</v>
      </c>
      <c r="F25" s="19" t="s">
        <v>47</v>
      </c>
      <c r="G25" s="19">
        <v>364.0</v>
      </c>
      <c r="H25" s="19">
        <v>72.8</v>
      </c>
      <c r="I25" s="19"/>
    </row>
    <row r="26" ht="15.75" hidden="1" customHeight="1">
      <c r="B26" s="17" t="s">
        <v>82</v>
      </c>
      <c r="C26" s="17" t="s">
        <v>83</v>
      </c>
      <c r="D26" s="17" t="s">
        <v>24</v>
      </c>
      <c r="E26" s="17" t="s">
        <v>18</v>
      </c>
      <c r="F26" s="17" t="s">
        <v>47</v>
      </c>
      <c r="G26" s="17">
        <v>324.0</v>
      </c>
      <c r="H26" s="17">
        <v>64.8</v>
      </c>
      <c r="I26" s="17"/>
    </row>
    <row r="27" ht="15.75" hidden="1" customHeight="1">
      <c r="B27" s="19" t="s">
        <v>84</v>
      </c>
      <c r="C27" s="19" t="s">
        <v>85</v>
      </c>
      <c r="D27" s="19" t="s">
        <v>17</v>
      </c>
      <c r="E27" s="19" t="s">
        <v>30</v>
      </c>
      <c r="F27" s="19" t="s">
        <v>26</v>
      </c>
      <c r="G27" s="19">
        <v>343.0</v>
      </c>
      <c r="H27" s="19">
        <v>68.6</v>
      </c>
      <c r="I27" s="19"/>
    </row>
    <row r="28" ht="15.75" hidden="1" customHeight="1">
      <c r="B28" s="17" t="s">
        <v>86</v>
      </c>
      <c r="C28" s="17" t="s">
        <v>87</v>
      </c>
      <c r="D28" s="17" t="s">
        <v>17</v>
      </c>
      <c r="E28" s="17" t="s">
        <v>30</v>
      </c>
      <c r="F28" s="17" t="s">
        <v>47</v>
      </c>
      <c r="G28" s="17">
        <v>356.0</v>
      </c>
      <c r="H28" s="17">
        <v>71.2</v>
      </c>
      <c r="I28" s="17"/>
    </row>
    <row r="29" ht="15.75" hidden="1" customHeight="1">
      <c r="B29" s="19" t="s">
        <v>88</v>
      </c>
      <c r="C29" s="19" t="s">
        <v>89</v>
      </c>
      <c r="D29" s="19" t="s">
        <v>17</v>
      </c>
      <c r="E29" s="19" t="s">
        <v>25</v>
      </c>
      <c r="F29" s="19" t="s">
        <v>19</v>
      </c>
      <c r="G29" s="19">
        <v>389.0</v>
      </c>
      <c r="H29" s="19">
        <v>77.8</v>
      </c>
      <c r="I29" s="19"/>
    </row>
    <row r="30" ht="15.75" hidden="1" customHeight="1">
      <c r="B30" s="17" t="s">
        <v>90</v>
      </c>
      <c r="C30" s="17" t="s">
        <v>91</v>
      </c>
      <c r="D30" s="17" t="s">
        <v>17</v>
      </c>
      <c r="E30" s="17" t="s">
        <v>54</v>
      </c>
      <c r="F30" s="17" t="s">
        <v>26</v>
      </c>
      <c r="G30" s="17">
        <v>399.0</v>
      </c>
      <c r="H30" s="17">
        <v>79.8</v>
      </c>
      <c r="I30" s="17"/>
    </row>
    <row r="31" ht="15.75" hidden="1" customHeight="1">
      <c r="B31" s="19" t="s">
        <v>92</v>
      </c>
      <c r="C31" s="19" t="s">
        <v>93</v>
      </c>
      <c r="D31" s="19" t="s">
        <v>24</v>
      </c>
      <c r="E31" s="19" t="s">
        <v>18</v>
      </c>
      <c r="F31" s="19" t="s">
        <v>26</v>
      </c>
      <c r="G31" s="19">
        <v>341.0</v>
      </c>
      <c r="H31" s="19">
        <v>68.2</v>
      </c>
      <c r="I31" s="19"/>
    </row>
    <row r="32" ht="15.75" hidden="1" customHeight="1">
      <c r="B32" s="17" t="s">
        <v>94</v>
      </c>
      <c r="C32" s="17" t="s">
        <v>79</v>
      </c>
      <c r="D32" s="17" t="s">
        <v>17</v>
      </c>
      <c r="E32" s="17" t="s">
        <v>40</v>
      </c>
      <c r="F32" s="17" t="s">
        <v>26</v>
      </c>
      <c r="G32" s="17">
        <v>322.0</v>
      </c>
      <c r="H32" s="17">
        <v>64.4</v>
      </c>
      <c r="I32" s="17"/>
    </row>
    <row r="33" ht="15.75" hidden="1" customHeight="1">
      <c r="B33" s="19" t="s">
        <v>95</v>
      </c>
      <c r="C33" s="19" t="s">
        <v>96</v>
      </c>
      <c r="D33" s="19" t="s">
        <v>24</v>
      </c>
      <c r="E33" s="19" t="s">
        <v>30</v>
      </c>
      <c r="F33" s="19" t="s">
        <v>19</v>
      </c>
      <c r="G33" s="19">
        <v>373.0</v>
      </c>
      <c r="H33" s="19">
        <v>74.6</v>
      </c>
      <c r="I33" s="19"/>
    </row>
    <row r="34" ht="15.75" hidden="1" customHeight="1">
      <c r="B34" s="17" t="s">
        <v>97</v>
      </c>
      <c r="C34" s="17" t="s">
        <v>83</v>
      </c>
      <c r="D34" s="17" t="s">
        <v>17</v>
      </c>
      <c r="E34" s="17" t="s">
        <v>54</v>
      </c>
      <c r="F34" s="17" t="s">
        <v>26</v>
      </c>
      <c r="G34" s="17">
        <v>343.0</v>
      </c>
      <c r="H34" s="17">
        <v>68.6</v>
      </c>
      <c r="I34" s="17"/>
    </row>
    <row r="35" ht="15.75" hidden="1" customHeight="1">
      <c r="B35" s="19" t="s">
        <v>98</v>
      </c>
      <c r="C35" s="19" t="s">
        <v>99</v>
      </c>
      <c r="D35" s="19" t="s">
        <v>24</v>
      </c>
      <c r="E35" s="19" t="s">
        <v>30</v>
      </c>
      <c r="F35" s="19" t="s">
        <v>26</v>
      </c>
      <c r="G35" s="19">
        <v>347.0</v>
      </c>
      <c r="H35" s="19">
        <v>69.4</v>
      </c>
      <c r="I35" s="19"/>
    </row>
    <row r="36" ht="15.75" hidden="1" customHeight="1">
      <c r="B36" s="17" t="s">
        <v>100</v>
      </c>
      <c r="C36" s="17" t="s">
        <v>101</v>
      </c>
      <c r="D36" s="17" t="s">
        <v>17</v>
      </c>
      <c r="E36" s="17" t="s">
        <v>18</v>
      </c>
      <c r="F36" s="17" t="s">
        <v>47</v>
      </c>
      <c r="G36" s="17">
        <v>303.0</v>
      </c>
      <c r="H36" s="17">
        <v>60.6</v>
      </c>
      <c r="I36" s="17"/>
    </row>
    <row r="37" ht="15.75" hidden="1" customHeight="1">
      <c r="B37" s="19" t="s">
        <v>102</v>
      </c>
      <c r="C37" s="19" t="s">
        <v>103</v>
      </c>
      <c r="D37" s="19" t="s">
        <v>17</v>
      </c>
      <c r="E37" s="19" t="s">
        <v>18</v>
      </c>
      <c r="F37" s="19" t="s">
        <v>47</v>
      </c>
      <c r="G37" s="19">
        <v>366.0</v>
      </c>
      <c r="H37" s="19">
        <v>73.2</v>
      </c>
      <c r="I37" s="19"/>
    </row>
    <row r="38" ht="15.75" hidden="1" customHeight="1">
      <c r="B38" s="17" t="s">
        <v>104</v>
      </c>
      <c r="C38" s="17" t="s">
        <v>105</v>
      </c>
      <c r="D38" s="17" t="s">
        <v>24</v>
      </c>
      <c r="E38" s="17" t="s">
        <v>18</v>
      </c>
      <c r="F38" s="17" t="s">
        <v>19</v>
      </c>
      <c r="G38" s="17">
        <v>345.0</v>
      </c>
      <c r="H38" s="17">
        <v>69.0</v>
      </c>
      <c r="I38" s="17"/>
    </row>
    <row r="39" ht="15.75" hidden="1" customHeight="1">
      <c r="B39" s="19" t="s">
        <v>106</v>
      </c>
      <c r="C39" s="19" t="s">
        <v>107</v>
      </c>
      <c r="D39" s="19" t="s">
        <v>24</v>
      </c>
      <c r="E39" s="19" t="s">
        <v>30</v>
      </c>
      <c r="F39" s="19" t="s">
        <v>19</v>
      </c>
      <c r="G39" s="19">
        <v>329.0</v>
      </c>
      <c r="H39" s="19">
        <v>65.8</v>
      </c>
      <c r="I39" s="19"/>
    </row>
    <row r="40" ht="15.75" hidden="1" customHeight="1">
      <c r="B40" s="17" t="s">
        <v>108</v>
      </c>
      <c r="C40" s="17" t="s">
        <v>109</v>
      </c>
      <c r="D40" s="17" t="s">
        <v>24</v>
      </c>
      <c r="E40" s="17" t="s">
        <v>25</v>
      </c>
      <c r="F40" s="17" t="s">
        <v>26</v>
      </c>
      <c r="G40" s="17">
        <v>295.0</v>
      </c>
      <c r="H40" s="17">
        <v>59.0</v>
      </c>
      <c r="I40" s="17"/>
    </row>
    <row r="41" ht="15.75" hidden="1" customHeight="1">
      <c r="B41" s="19" t="s">
        <v>110</v>
      </c>
      <c r="C41" s="19" t="s">
        <v>111</v>
      </c>
      <c r="D41" s="19" t="s">
        <v>24</v>
      </c>
      <c r="E41" s="19" t="s">
        <v>30</v>
      </c>
      <c r="F41" s="19" t="s">
        <v>47</v>
      </c>
      <c r="G41" s="19">
        <v>327.0</v>
      </c>
      <c r="H41" s="19">
        <v>65.4</v>
      </c>
      <c r="I41" s="19"/>
    </row>
    <row r="42" ht="15.75" hidden="1" customHeight="1">
      <c r="B42" s="17" t="s">
        <v>112</v>
      </c>
      <c r="C42" s="17" t="s">
        <v>113</v>
      </c>
      <c r="D42" s="17" t="s">
        <v>24</v>
      </c>
      <c r="E42" s="17" t="s">
        <v>40</v>
      </c>
      <c r="F42" s="17" t="s">
        <v>19</v>
      </c>
      <c r="G42" s="17">
        <v>376.0</v>
      </c>
      <c r="H42" s="17">
        <v>75.2</v>
      </c>
      <c r="I42" s="17"/>
    </row>
    <row r="43" ht="15.75" hidden="1" customHeight="1">
      <c r="B43" s="19" t="s">
        <v>114</v>
      </c>
      <c r="C43" s="19" t="s">
        <v>115</v>
      </c>
      <c r="D43" s="19" t="s">
        <v>17</v>
      </c>
      <c r="E43" s="19" t="s">
        <v>25</v>
      </c>
      <c r="F43" s="19" t="s">
        <v>19</v>
      </c>
      <c r="G43" s="19">
        <v>354.0</v>
      </c>
      <c r="H43" s="19">
        <v>70.8</v>
      </c>
      <c r="I43" s="19"/>
    </row>
    <row r="44" ht="15.75" hidden="1" customHeight="1">
      <c r="B44" s="17" t="s">
        <v>116</v>
      </c>
      <c r="C44" s="17" t="s">
        <v>117</v>
      </c>
      <c r="D44" s="17" t="s">
        <v>24</v>
      </c>
      <c r="E44" s="17" t="s">
        <v>40</v>
      </c>
      <c r="F44" s="17" t="s">
        <v>19</v>
      </c>
      <c r="G44" s="17">
        <v>334.0</v>
      </c>
      <c r="H44" s="17">
        <v>66.8</v>
      </c>
      <c r="I44" s="17"/>
    </row>
    <row r="45" ht="15.75" hidden="1" customHeight="1">
      <c r="B45" s="19" t="s">
        <v>118</v>
      </c>
      <c r="C45" s="19" t="s">
        <v>119</v>
      </c>
      <c r="D45" s="19" t="s">
        <v>24</v>
      </c>
      <c r="E45" s="19" t="s">
        <v>54</v>
      </c>
      <c r="F45" s="19" t="s">
        <v>26</v>
      </c>
      <c r="G45" s="19">
        <v>351.0</v>
      </c>
      <c r="H45" s="19">
        <v>70.2</v>
      </c>
      <c r="I45" s="19"/>
    </row>
    <row r="46" ht="15.75" hidden="1" customHeight="1">
      <c r="B46" s="17" t="s">
        <v>120</v>
      </c>
      <c r="C46" s="17" t="s">
        <v>121</v>
      </c>
      <c r="D46" s="17" t="s">
        <v>24</v>
      </c>
      <c r="E46" s="17" t="s">
        <v>25</v>
      </c>
      <c r="F46" s="17" t="s">
        <v>26</v>
      </c>
      <c r="G46" s="17">
        <v>317.0</v>
      </c>
      <c r="H46" s="17">
        <v>63.4</v>
      </c>
      <c r="I46" s="17"/>
    </row>
    <row r="47" ht="15.75" hidden="1" customHeight="1">
      <c r="B47" s="19" t="s">
        <v>122</v>
      </c>
      <c r="C47" s="19" t="s">
        <v>123</v>
      </c>
      <c r="D47" s="19" t="s">
        <v>24</v>
      </c>
      <c r="E47" s="19" t="s">
        <v>25</v>
      </c>
      <c r="F47" s="19" t="s">
        <v>47</v>
      </c>
      <c r="G47" s="19">
        <v>347.0</v>
      </c>
      <c r="H47" s="19">
        <v>69.4</v>
      </c>
      <c r="I47" s="19"/>
    </row>
    <row r="48" ht="15.75" hidden="1" customHeight="1">
      <c r="B48" s="17" t="s">
        <v>124</v>
      </c>
      <c r="C48" s="17" t="s">
        <v>125</v>
      </c>
      <c r="D48" s="17" t="s">
        <v>17</v>
      </c>
      <c r="E48" s="17" t="s">
        <v>25</v>
      </c>
      <c r="F48" s="17" t="s">
        <v>19</v>
      </c>
      <c r="G48" s="17">
        <v>312.0</v>
      </c>
      <c r="H48" s="17">
        <v>62.4</v>
      </c>
      <c r="I48" s="17"/>
    </row>
    <row r="49" ht="15.75" hidden="1" customHeight="1">
      <c r="B49" s="19" t="s">
        <v>126</v>
      </c>
      <c r="C49" s="19" t="s">
        <v>127</v>
      </c>
      <c r="D49" s="19" t="s">
        <v>24</v>
      </c>
      <c r="E49" s="19" t="s">
        <v>25</v>
      </c>
      <c r="F49" s="19" t="s">
        <v>26</v>
      </c>
      <c r="G49" s="19">
        <v>350.0</v>
      </c>
      <c r="H49" s="19">
        <v>70.0</v>
      </c>
      <c r="I49" s="19"/>
    </row>
    <row r="50" ht="15.75" hidden="1" customHeight="1">
      <c r="B50" s="17" t="s">
        <v>128</v>
      </c>
      <c r="C50" s="17" t="s">
        <v>101</v>
      </c>
      <c r="D50" s="17" t="s">
        <v>17</v>
      </c>
      <c r="E50" s="17" t="s">
        <v>54</v>
      </c>
      <c r="F50" s="17" t="s">
        <v>26</v>
      </c>
      <c r="G50" s="17">
        <v>287.0</v>
      </c>
      <c r="H50" s="17">
        <v>57.4</v>
      </c>
      <c r="I50" s="17"/>
    </row>
    <row r="51" ht="15.75" hidden="1" customHeight="1">
      <c r="B51" s="19" t="s">
        <v>129</v>
      </c>
      <c r="C51" s="19" t="s">
        <v>96</v>
      </c>
      <c r="D51" s="19" t="s">
        <v>24</v>
      </c>
      <c r="E51" s="19" t="s">
        <v>25</v>
      </c>
      <c r="F51" s="19" t="s">
        <v>26</v>
      </c>
      <c r="G51" s="19">
        <v>349.0</v>
      </c>
      <c r="H51" s="19">
        <v>69.8</v>
      </c>
      <c r="I51" s="19"/>
    </row>
    <row r="52" ht="15.75" hidden="1" customHeight="1">
      <c r="B52" s="17" t="s">
        <v>130</v>
      </c>
      <c r="C52" s="17" t="s">
        <v>131</v>
      </c>
      <c r="D52" s="17" t="s">
        <v>17</v>
      </c>
      <c r="E52" s="17" t="s">
        <v>54</v>
      </c>
      <c r="F52" s="17" t="s">
        <v>26</v>
      </c>
      <c r="G52" s="17">
        <v>367.0</v>
      </c>
      <c r="H52" s="17">
        <v>73.4</v>
      </c>
      <c r="I52" s="17"/>
    </row>
    <row r="53" ht="15.75" hidden="1" customHeight="1">
      <c r="B53" s="19" t="s">
        <v>132</v>
      </c>
      <c r="C53" s="19" t="s">
        <v>133</v>
      </c>
      <c r="D53" s="19" t="s">
        <v>17</v>
      </c>
      <c r="E53" s="19" t="s">
        <v>25</v>
      </c>
      <c r="F53" s="19" t="s">
        <v>19</v>
      </c>
      <c r="G53" s="19">
        <v>308.0</v>
      </c>
      <c r="H53" s="19">
        <v>61.6</v>
      </c>
      <c r="I53" s="19"/>
    </row>
    <row r="54" ht="15.75" hidden="1" customHeight="1">
      <c r="B54" s="17" t="s">
        <v>134</v>
      </c>
      <c r="C54" s="17" t="s">
        <v>135</v>
      </c>
      <c r="D54" s="17" t="s">
        <v>24</v>
      </c>
      <c r="E54" s="17" t="s">
        <v>54</v>
      </c>
      <c r="F54" s="17" t="s">
        <v>26</v>
      </c>
      <c r="G54" s="17">
        <v>380.0</v>
      </c>
      <c r="H54" s="17">
        <v>76.0</v>
      </c>
      <c r="I54" s="17"/>
    </row>
    <row r="55" ht="15.75" hidden="1" customHeight="1">
      <c r="B55" s="19" t="s">
        <v>136</v>
      </c>
      <c r="C55" s="19" t="s">
        <v>137</v>
      </c>
      <c r="D55" s="19" t="s">
        <v>24</v>
      </c>
      <c r="E55" s="19" t="s">
        <v>30</v>
      </c>
      <c r="F55" s="19" t="s">
        <v>19</v>
      </c>
      <c r="G55" s="19">
        <v>328.0</v>
      </c>
      <c r="H55" s="19">
        <v>65.6</v>
      </c>
      <c r="I55" s="19"/>
    </row>
    <row r="56" ht="15.75" customHeight="1">
      <c r="A56" s="21"/>
      <c r="B56" s="17" t="s">
        <v>138</v>
      </c>
      <c r="C56" s="17" t="s">
        <v>139</v>
      </c>
      <c r="D56" s="17" t="s">
        <v>17</v>
      </c>
      <c r="E56" s="17" t="s">
        <v>40</v>
      </c>
      <c r="F56" s="17" t="s">
        <v>47</v>
      </c>
      <c r="G56" s="17">
        <v>415.0</v>
      </c>
      <c r="H56" s="17">
        <v>83.0</v>
      </c>
      <c r="I56" s="17"/>
    </row>
    <row r="57" ht="15.75" hidden="1" customHeight="1">
      <c r="B57" s="19" t="s">
        <v>140</v>
      </c>
      <c r="C57" s="19" t="s">
        <v>141</v>
      </c>
      <c r="D57" s="19" t="s">
        <v>24</v>
      </c>
      <c r="E57" s="19" t="s">
        <v>30</v>
      </c>
      <c r="F57" s="19" t="s">
        <v>19</v>
      </c>
      <c r="G57" s="19">
        <v>298.0</v>
      </c>
      <c r="H57" s="19">
        <v>59.6</v>
      </c>
      <c r="I57" s="19"/>
    </row>
    <row r="58" ht="15.75" hidden="1" customHeight="1">
      <c r="B58" s="17" t="s">
        <v>142</v>
      </c>
      <c r="C58" s="17" t="s">
        <v>46</v>
      </c>
      <c r="D58" s="17" t="s">
        <v>24</v>
      </c>
      <c r="E58" s="17" t="s">
        <v>30</v>
      </c>
      <c r="F58" s="17" t="s">
        <v>26</v>
      </c>
      <c r="G58" s="17">
        <v>319.0</v>
      </c>
      <c r="H58" s="17">
        <v>63.8</v>
      </c>
      <c r="I58" s="17"/>
    </row>
    <row r="59" ht="15.75" hidden="1" customHeight="1">
      <c r="B59" s="19" t="s">
        <v>143</v>
      </c>
      <c r="C59" s="19" t="s">
        <v>79</v>
      </c>
      <c r="D59" s="19" t="s">
        <v>17</v>
      </c>
      <c r="E59" s="19" t="s">
        <v>30</v>
      </c>
      <c r="F59" s="19" t="s">
        <v>47</v>
      </c>
      <c r="G59" s="19">
        <v>306.0</v>
      </c>
      <c r="H59" s="19">
        <v>61.2</v>
      </c>
      <c r="I59" s="19"/>
    </row>
    <row r="60" ht="15.75" hidden="1" customHeight="1">
      <c r="B60" s="17" t="s">
        <v>144</v>
      </c>
      <c r="C60" s="17" t="s">
        <v>145</v>
      </c>
      <c r="D60" s="17" t="s">
        <v>17</v>
      </c>
      <c r="E60" s="17" t="s">
        <v>40</v>
      </c>
      <c r="F60" s="17" t="s">
        <v>19</v>
      </c>
      <c r="G60" s="17">
        <v>377.0</v>
      </c>
      <c r="H60" s="17">
        <v>75.4</v>
      </c>
      <c r="I60" s="17"/>
    </row>
    <row r="61" ht="15.75" hidden="1" customHeight="1">
      <c r="B61" s="19" t="s">
        <v>146</v>
      </c>
      <c r="C61" s="19" t="s">
        <v>147</v>
      </c>
      <c r="D61" s="19" t="s">
        <v>24</v>
      </c>
      <c r="E61" s="19" t="s">
        <v>25</v>
      </c>
      <c r="F61" s="19" t="s">
        <v>19</v>
      </c>
      <c r="G61" s="19">
        <v>347.0</v>
      </c>
      <c r="H61" s="19">
        <v>69.4</v>
      </c>
      <c r="I61" s="19"/>
    </row>
    <row r="62" ht="15.75" hidden="1" customHeight="1">
      <c r="B62" s="17" t="s">
        <v>148</v>
      </c>
      <c r="C62" s="17" t="s">
        <v>149</v>
      </c>
      <c r="D62" s="17" t="s">
        <v>17</v>
      </c>
      <c r="E62" s="17" t="s">
        <v>25</v>
      </c>
      <c r="F62" s="17" t="s">
        <v>19</v>
      </c>
      <c r="G62" s="17">
        <v>359.0</v>
      </c>
      <c r="H62" s="17">
        <v>71.8</v>
      </c>
      <c r="I62" s="17"/>
    </row>
    <row r="63" ht="15.75" hidden="1" customHeight="1">
      <c r="B63" s="19" t="s">
        <v>150</v>
      </c>
      <c r="C63" s="19" t="s">
        <v>151</v>
      </c>
      <c r="D63" s="19" t="s">
        <v>17</v>
      </c>
      <c r="E63" s="19" t="s">
        <v>30</v>
      </c>
      <c r="F63" s="19" t="s">
        <v>47</v>
      </c>
      <c r="G63" s="19">
        <v>429.0</v>
      </c>
      <c r="H63" s="19">
        <v>85.8</v>
      </c>
      <c r="I63" s="19"/>
    </row>
    <row r="64" ht="15.75" hidden="1" customHeight="1">
      <c r="B64" s="17" t="s">
        <v>152</v>
      </c>
      <c r="C64" s="17" t="s">
        <v>153</v>
      </c>
      <c r="D64" s="17" t="s">
        <v>17</v>
      </c>
      <c r="E64" s="17" t="s">
        <v>25</v>
      </c>
      <c r="F64" s="17" t="s">
        <v>26</v>
      </c>
      <c r="G64" s="17">
        <v>389.0</v>
      </c>
      <c r="H64" s="17">
        <v>77.8</v>
      </c>
      <c r="I64" s="17"/>
    </row>
    <row r="65" ht="15.75" hidden="1" customHeight="1">
      <c r="B65" s="19" t="s">
        <v>154</v>
      </c>
      <c r="C65" s="19" t="s">
        <v>64</v>
      </c>
      <c r="D65" s="19" t="s">
        <v>17</v>
      </c>
      <c r="E65" s="19" t="s">
        <v>40</v>
      </c>
      <c r="F65" s="19" t="s">
        <v>26</v>
      </c>
      <c r="G65" s="19">
        <v>359.0</v>
      </c>
      <c r="H65" s="19">
        <v>71.8</v>
      </c>
      <c r="I65" s="19"/>
    </row>
    <row r="66" ht="15.75" hidden="1" customHeight="1">
      <c r="B66" s="17" t="s">
        <v>155</v>
      </c>
      <c r="C66" s="17" t="s">
        <v>156</v>
      </c>
      <c r="D66" s="17" t="s">
        <v>24</v>
      </c>
      <c r="E66" s="17" t="s">
        <v>18</v>
      </c>
      <c r="F66" s="17" t="s">
        <v>47</v>
      </c>
      <c r="G66" s="17">
        <v>306.0</v>
      </c>
      <c r="H66" s="17">
        <v>61.2</v>
      </c>
      <c r="I66" s="17"/>
    </row>
    <row r="67" ht="15.75" hidden="1" customHeight="1">
      <c r="B67" s="19" t="s">
        <v>157</v>
      </c>
      <c r="C67" s="19" t="s">
        <v>158</v>
      </c>
      <c r="D67" s="19" t="s">
        <v>17</v>
      </c>
      <c r="E67" s="19" t="s">
        <v>18</v>
      </c>
      <c r="F67" s="19" t="s">
        <v>47</v>
      </c>
      <c r="G67" s="19">
        <v>365.0</v>
      </c>
      <c r="H67" s="19">
        <v>73.0</v>
      </c>
      <c r="I67" s="19"/>
    </row>
    <row r="68" ht="15.75" hidden="1" customHeight="1">
      <c r="B68" s="17" t="s">
        <v>159</v>
      </c>
      <c r="C68" s="17" t="s">
        <v>121</v>
      </c>
      <c r="D68" s="17" t="s">
        <v>24</v>
      </c>
      <c r="E68" s="17" t="s">
        <v>40</v>
      </c>
      <c r="F68" s="17" t="s">
        <v>26</v>
      </c>
      <c r="G68" s="17">
        <v>346.0</v>
      </c>
      <c r="H68" s="17">
        <v>69.2</v>
      </c>
      <c r="I68" s="17"/>
    </row>
    <row r="69" ht="15.75" hidden="1" customHeight="1">
      <c r="B69" s="19" t="s">
        <v>160</v>
      </c>
      <c r="C69" s="19" t="s">
        <v>161</v>
      </c>
      <c r="D69" s="19" t="s">
        <v>24</v>
      </c>
      <c r="E69" s="19" t="s">
        <v>18</v>
      </c>
      <c r="F69" s="19" t="s">
        <v>19</v>
      </c>
      <c r="G69" s="19">
        <v>369.0</v>
      </c>
      <c r="H69" s="19">
        <v>73.8</v>
      </c>
      <c r="I69" s="19"/>
    </row>
    <row r="70" ht="15.75" hidden="1" customHeight="1">
      <c r="B70" s="17" t="s">
        <v>162</v>
      </c>
      <c r="C70" s="17" t="s">
        <v>163</v>
      </c>
      <c r="D70" s="17" t="s">
        <v>17</v>
      </c>
      <c r="E70" s="17" t="s">
        <v>30</v>
      </c>
      <c r="F70" s="17" t="s">
        <v>19</v>
      </c>
      <c r="G70" s="17">
        <v>338.0</v>
      </c>
      <c r="H70" s="17">
        <v>67.6</v>
      </c>
      <c r="I70" s="17"/>
    </row>
    <row r="71" ht="15.75" hidden="1" customHeight="1">
      <c r="B71" s="19" t="s">
        <v>164</v>
      </c>
      <c r="C71" s="19" t="s">
        <v>165</v>
      </c>
      <c r="D71" s="19" t="s">
        <v>17</v>
      </c>
      <c r="E71" s="19" t="s">
        <v>25</v>
      </c>
      <c r="F71" s="19" t="s">
        <v>47</v>
      </c>
      <c r="G71" s="19">
        <v>342.0</v>
      </c>
      <c r="H71" s="19">
        <v>68.4</v>
      </c>
      <c r="I71" s="19"/>
    </row>
    <row r="72" ht="15.75" hidden="1" customHeight="1">
      <c r="B72" s="17" t="s">
        <v>166</v>
      </c>
      <c r="C72" s="17" t="s">
        <v>167</v>
      </c>
      <c r="D72" s="17" t="s">
        <v>17</v>
      </c>
      <c r="E72" s="17" t="s">
        <v>40</v>
      </c>
      <c r="F72" s="17" t="s">
        <v>47</v>
      </c>
      <c r="G72" s="17">
        <v>326.0</v>
      </c>
      <c r="H72" s="17">
        <v>65.2</v>
      </c>
      <c r="I72" s="17"/>
    </row>
    <row r="73" ht="15.75" hidden="1" customHeight="1">
      <c r="B73" s="19" t="s">
        <v>168</v>
      </c>
      <c r="C73" s="19" t="s">
        <v>169</v>
      </c>
      <c r="D73" s="19" t="s">
        <v>17</v>
      </c>
      <c r="E73" s="19" t="s">
        <v>18</v>
      </c>
      <c r="F73" s="19" t="s">
        <v>47</v>
      </c>
      <c r="G73" s="19">
        <v>343.0</v>
      </c>
      <c r="H73" s="19">
        <v>68.6</v>
      </c>
      <c r="I73" s="19"/>
    </row>
    <row r="74" ht="15.75" hidden="1" customHeight="1">
      <c r="B74" s="17" t="s">
        <v>170</v>
      </c>
      <c r="C74" s="17" t="s">
        <v>171</v>
      </c>
      <c r="D74" s="17" t="s">
        <v>17</v>
      </c>
      <c r="E74" s="17" t="s">
        <v>18</v>
      </c>
      <c r="F74" s="17" t="s">
        <v>26</v>
      </c>
      <c r="G74" s="17">
        <v>351.0</v>
      </c>
      <c r="H74" s="17">
        <v>70.2</v>
      </c>
      <c r="I74" s="17"/>
    </row>
    <row r="75" ht="15.75" hidden="1" customHeight="1">
      <c r="B75" s="19" t="s">
        <v>172</v>
      </c>
      <c r="C75" s="19" t="s">
        <v>99</v>
      </c>
      <c r="D75" s="19" t="s">
        <v>17</v>
      </c>
      <c r="E75" s="19" t="s">
        <v>40</v>
      </c>
      <c r="F75" s="19" t="s">
        <v>19</v>
      </c>
      <c r="G75" s="19">
        <v>394.0</v>
      </c>
      <c r="H75" s="19">
        <v>78.8</v>
      </c>
      <c r="I75" s="19"/>
    </row>
    <row r="76" ht="15.75" hidden="1" customHeight="1">
      <c r="B76" s="17" t="s">
        <v>173</v>
      </c>
      <c r="C76" s="17" t="s">
        <v>68</v>
      </c>
      <c r="D76" s="17" t="s">
        <v>24</v>
      </c>
      <c r="E76" s="17" t="s">
        <v>18</v>
      </c>
      <c r="F76" s="17" t="s">
        <v>26</v>
      </c>
      <c r="G76" s="17">
        <v>367.0</v>
      </c>
      <c r="H76" s="17">
        <v>73.4</v>
      </c>
      <c r="I76" s="17"/>
    </row>
    <row r="77" ht="15.75" hidden="1" customHeight="1">
      <c r="B77" s="19" t="s">
        <v>174</v>
      </c>
      <c r="C77" s="19" t="s">
        <v>175</v>
      </c>
      <c r="D77" s="19" t="s">
        <v>17</v>
      </c>
      <c r="E77" s="19" t="s">
        <v>54</v>
      </c>
      <c r="F77" s="19" t="s">
        <v>26</v>
      </c>
      <c r="G77" s="19">
        <v>342.0</v>
      </c>
      <c r="H77" s="19">
        <v>68.4</v>
      </c>
      <c r="I77" s="19"/>
    </row>
    <row r="78" ht="15.75" hidden="1" customHeight="1">
      <c r="B78" s="17" t="s">
        <v>176</v>
      </c>
      <c r="C78" s="17" t="s">
        <v>57</v>
      </c>
      <c r="D78" s="17" t="s">
        <v>24</v>
      </c>
      <c r="E78" s="17" t="s">
        <v>54</v>
      </c>
      <c r="F78" s="17" t="s">
        <v>47</v>
      </c>
      <c r="G78" s="17">
        <v>302.0</v>
      </c>
      <c r="H78" s="17">
        <v>60.4</v>
      </c>
      <c r="I78" s="17"/>
    </row>
    <row r="79" ht="15.75" hidden="1" customHeight="1">
      <c r="B79" s="19" t="s">
        <v>177</v>
      </c>
      <c r="C79" s="19" t="s">
        <v>178</v>
      </c>
      <c r="D79" s="19" t="s">
        <v>17</v>
      </c>
      <c r="E79" s="19" t="s">
        <v>18</v>
      </c>
      <c r="F79" s="19" t="s">
        <v>19</v>
      </c>
      <c r="G79" s="19">
        <v>414.0</v>
      </c>
      <c r="H79" s="19">
        <v>82.8</v>
      </c>
      <c r="I79" s="19"/>
    </row>
    <row r="80" ht="15.75" hidden="1" customHeight="1">
      <c r="B80" s="17" t="s">
        <v>179</v>
      </c>
      <c r="C80" s="17" t="s">
        <v>133</v>
      </c>
      <c r="D80" s="17" t="s">
        <v>24</v>
      </c>
      <c r="E80" s="17" t="s">
        <v>30</v>
      </c>
      <c r="F80" s="17" t="s">
        <v>26</v>
      </c>
      <c r="G80" s="17">
        <v>330.0</v>
      </c>
      <c r="H80" s="17">
        <v>66.0</v>
      </c>
      <c r="I80" s="17"/>
    </row>
    <row r="81" ht="15.75" hidden="1" customHeight="1">
      <c r="B81" s="19" t="s">
        <v>180</v>
      </c>
      <c r="C81" s="19" t="s">
        <v>181</v>
      </c>
      <c r="D81" s="19" t="s">
        <v>17</v>
      </c>
      <c r="E81" s="19" t="s">
        <v>25</v>
      </c>
      <c r="F81" s="19" t="s">
        <v>47</v>
      </c>
      <c r="G81" s="19">
        <v>338.0</v>
      </c>
      <c r="H81" s="19">
        <v>67.6</v>
      </c>
      <c r="I81" s="19"/>
    </row>
    <row r="82" ht="15.75" hidden="1" customHeight="1">
      <c r="B82" s="17" t="s">
        <v>182</v>
      </c>
      <c r="C82" s="17" t="s">
        <v>183</v>
      </c>
      <c r="D82" s="17" t="s">
        <v>24</v>
      </c>
      <c r="E82" s="17" t="s">
        <v>25</v>
      </c>
      <c r="F82" s="17" t="s">
        <v>26</v>
      </c>
      <c r="G82" s="17">
        <v>330.0</v>
      </c>
      <c r="H82" s="17">
        <v>66.0</v>
      </c>
      <c r="I82" s="17"/>
    </row>
    <row r="83" ht="15.75" hidden="1" customHeight="1">
      <c r="B83" s="19" t="s">
        <v>184</v>
      </c>
      <c r="C83" s="19" t="s">
        <v>185</v>
      </c>
      <c r="D83" s="19" t="s">
        <v>24</v>
      </c>
      <c r="E83" s="19" t="s">
        <v>54</v>
      </c>
      <c r="F83" s="19" t="s">
        <v>19</v>
      </c>
      <c r="G83" s="19">
        <v>336.0</v>
      </c>
      <c r="H83" s="19">
        <v>67.2</v>
      </c>
      <c r="I83" s="19"/>
    </row>
    <row r="84" ht="15.75" hidden="1" customHeight="1">
      <c r="B84" s="17" t="s">
        <v>186</v>
      </c>
      <c r="C84" s="17" t="s">
        <v>187</v>
      </c>
      <c r="D84" s="17" t="s">
        <v>24</v>
      </c>
      <c r="E84" s="17" t="s">
        <v>18</v>
      </c>
      <c r="F84" s="17" t="s">
        <v>19</v>
      </c>
      <c r="G84" s="17">
        <v>382.0</v>
      </c>
      <c r="H84" s="17">
        <v>76.4</v>
      </c>
      <c r="I84" s="17"/>
    </row>
    <row r="85" ht="15.75" hidden="1" customHeight="1">
      <c r="B85" s="19" t="s">
        <v>188</v>
      </c>
      <c r="C85" s="19" t="s">
        <v>189</v>
      </c>
      <c r="D85" s="19" t="s">
        <v>17</v>
      </c>
      <c r="E85" s="19" t="s">
        <v>54</v>
      </c>
      <c r="F85" s="19" t="s">
        <v>47</v>
      </c>
      <c r="G85" s="19">
        <v>333.0</v>
      </c>
      <c r="H85" s="19">
        <v>66.6</v>
      </c>
      <c r="I85" s="19"/>
    </row>
    <row r="86" ht="15.75" hidden="1" customHeight="1">
      <c r="B86" s="17" t="s">
        <v>190</v>
      </c>
      <c r="C86" s="17" t="s">
        <v>191</v>
      </c>
      <c r="D86" s="17" t="s">
        <v>24</v>
      </c>
      <c r="E86" s="17" t="s">
        <v>30</v>
      </c>
      <c r="F86" s="17" t="s">
        <v>47</v>
      </c>
      <c r="G86" s="17">
        <v>298.0</v>
      </c>
      <c r="H86" s="17">
        <v>59.6</v>
      </c>
      <c r="I86" s="17"/>
    </row>
    <row r="87" ht="15.75" hidden="1" customHeight="1">
      <c r="B87" s="19" t="s">
        <v>192</v>
      </c>
      <c r="C87" s="19" t="s">
        <v>193</v>
      </c>
      <c r="D87" s="19" t="s">
        <v>24</v>
      </c>
      <c r="E87" s="19" t="s">
        <v>40</v>
      </c>
      <c r="F87" s="19" t="s">
        <v>47</v>
      </c>
      <c r="G87" s="19">
        <v>398.0</v>
      </c>
      <c r="H87" s="19">
        <v>79.6</v>
      </c>
      <c r="I87" s="19"/>
    </row>
    <row r="88" ht="15.75" hidden="1" customHeight="1">
      <c r="B88" s="17" t="s">
        <v>194</v>
      </c>
      <c r="C88" s="17" t="s">
        <v>96</v>
      </c>
      <c r="D88" s="17" t="s">
        <v>17</v>
      </c>
      <c r="E88" s="17" t="s">
        <v>54</v>
      </c>
      <c r="F88" s="17" t="s">
        <v>47</v>
      </c>
      <c r="G88" s="17">
        <v>340.0</v>
      </c>
      <c r="H88" s="17">
        <v>68.0</v>
      </c>
      <c r="I88" s="17"/>
    </row>
    <row r="89" ht="15.75" hidden="1" customHeight="1">
      <c r="B89" s="19" t="s">
        <v>195</v>
      </c>
      <c r="C89" s="19" t="s">
        <v>163</v>
      </c>
      <c r="D89" s="19" t="s">
        <v>17</v>
      </c>
      <c r="E89" s="19" t="s">
        <v>54</v>
      </c>
      <c r="F89" s="19" t="s">
        <v>47</v>
      </c>
      <c r="G89" s="19">
        <v>400.0</v>
      </c>
      <c r="H89" s="19">
        <v>80.0</v>
      </c>
      <c r="I89" s="19"/>
    </row>
    <row r="90" ht="15.75" hidden="1" customHeight="1">
      <c r="B90" s="17" t="s">
        <v>196</v>
      </c>
      <c r="C90" s="17" t="s">
        <v>197</v>
      </c>
      <c r="D90" s="17" t="s">
        <v>24</v>
      </c>
      <c r="E90" s="17" t="s">
        <v>25</v>
      </c>
      <c r="F90" s="17" t="s">
        <v>26</v>
      </c>
      <c r="G90" s="17">
        <v>319.0</v>
      </c>
      <c r="H90" s="17">
        <v>63.8</v>
      </c>
      <c r="I90" s="17"/>
    </row>
    <row r="91" ht="15.75" hidden="1" customHeight="1">
      <c r="B91" s="19" t="s">
        <v>198</v>
      </c>
      <c r="C91" s="19" t="s">
        <v>199</v>
      </c>
      <c r="D91" s="19" t="s">
        <v>24</v>
      </c>
      <c r="E91" s="19" t="s">
        <v>18</v>
      </c>
      <c r="F91" s="19" t="s">
        <v>26</v>
      </c>
      <c r="G91" s="19">
        <v>357.0</v>
      </c>
      <c r="H91" s="19">
        <v>71.4</v>
      </c>
      <c r="I91" s="19"/>
    </row>
    <row r="92" ht="15.75" hidden="1" customHeight="1">
      <c r="B92" s="17" t="s">
        <v>200</v>
      </c>
      <c r="C92" s="17" t="s">
        <v>201</v>
      </c>
      <c r="D92" s="17" t="s">
        <v>24</v>
      </c>
      <c r="E92" s="17" t="s">
        <v>18</v>
      </c>
      <c r="F92" s="17" t="s">
        <v>19</v>
      </c>
      <c r="G92" s="17">
        <v>369.0</v>
      </c>
      <c r="H92" s="17">
        <v>73.8</v>
      </c>
      <c r="I92" s="17"/>
    </row>
    <row r="93" ht="15.75" hidden="1" customHeight="1">
      <c r="B93" s="19" t="s">
        <v>202</v>
      </c>
      <c r="C93" s="19" t="s">
        <v>117</v>
      </c>
      <c r="D93" s="19" t="s">
        <v>24</v>
      </c>
      <c r="E93" s="19" t="s">
        <v>30</v>
      </c>
      <c r="F93" s="19" t="s">
        <v>26</v>
      </c>
      <c r="G93" s="19">
        <v>299.0</v>
      </c>
      <c r="H93" s="19">
        <v>59.8</v>
      </c>
      <c r="I93" s="19"/>
    </row>
    <row r="94" ht="15.75" hidden="1" customHeight="1">
      <c r="B94" s="17" t="s">
        <v>203</v>
      </c>
      <c r="C94" s="17" t="s">
        <v>204</v>
      </c>
      <c r="D94" s="17" t="s">
        <v>17</v>
      </c>
      <c r="E94" s="17" t="s">
        <v>25</v>
      </c>
      <c r="F94" s="17" t="s">
        <v>19</v>
      </c>
      <c r="G94" s="17">
        <v>379.0</v>
      </c>
      <c r="H94" s="17">
        <v>75.8</v>
      </c>
      <c r="I94" s="17"/>
    </row>
    <row r="95" ht="15.75" hidden="1" customHeight="1">
      <c r="B95" s="19" t="s">
        <v>205</v>
      </c>
      <c r="C95" s="19" t="s">
        <v>206</v>
      </c>
      <c r="D95" s="19" t="s">
        <v>17</v>
      </c>
      <c r="E95" s="19" t="s">
        <v>18</v>
      </c>
      <c r="F95" s="19" t="s">
        <v>19</v>
      </c>
      <c r="G95" s="19">
        <v>349.0</v>
      </c>
      <c r="H95" s="19">
        <v>69.8</v>
      </c>
      <c r="I95" s="19"/>
    </row>
    <row r="96" ht="15.75" hidden="1" customHeight="1">
      <c r="B96" s="17" t="s">
        <v>207</v>
      </c>
      <c r="C96" s="17" t="s">
        <v>208</v>
      </c>
      <c r="D96" s="17" t="s">
        <v>17</v>
      </c>
      <c r="E96" s="17" t="s">
        <v>25</v>
      </c>
      <c r="F96" s="17" t="s">
        <v>19</v>
      </c>
      <c r="G96" s="17">
        <v>287.0</v>
      </c>
      <c r="H96" s="17">
        <v>57.4</v>
      </c>
      <c r="I96" s="17"/>
    </row>
    <row r="97" ht="15.75" hidden="1" customHeight="1">
      <c r="B97" s="19" t="s">
        <v>209</v>
      </c>
      <c r="C97" s="19" t="s">
        <v>23</v>
      </c>
      <c r="D97" s="19" t="s">
        <v>24</v>
      </c>
      <c r="E97" s="19" t="s">
        <v>18</v>
      </c>
      <c r="F97" s="19" t="s">
        <v>26</v>
      </c>
      <c r="G97" s="19">
        <v>351.0</v>
      </c>
      <c r="H97" s="19">
        <v>70.2</v>
      </c>
      <c r="I97" s="19"/>
    </row>
    <row r="98" ht="15.75" hidden="1" customHeight="1">
      <c r="B98" s="17" t="s">
        <v>210</v>
      </c>
      <c r="C98" s="17" t="s">
        <v>211</v>
      </c>
      <c r="D98" s="17" t="s">
        <v>17</v>
      </c>
      <c r="E98" s="17" t="s">
        <v>25</v>
      </c>
      <c r="F98" s="17" t="s">
        <v>26</v>
      </c>
      <c r="G98" s="17">
        <v>301.0</v>
      </c>
      <c r="H98" s="17">
        <v>60.2</v>
      </c>
      <c r="I98" s="17"/>
    </row>
    <row r="99" ht="15.75" hidden="1" customHeight="1">
      <c r="B99" s="19" t="s">
        <v>212</v>
      </c>
      <c r="C99" s="19" t="s">
        <v>125</v>
      </c>
      <c r="D99" s="19" t="s">
        <v>24</v>
      </c>
      <c r="E99" s="19" t="s">
        <v>25</v>
      </c>
      <c r="F99" s="19" t="s">
        <v>47</v>
      </c>
      <c r="G99" s="19">
        <v>402.0</v>
      </c>
      <c r="H99" s="19">
        <v>80.4</v>
      </c>
      <c r="I99" s="19"/>
    </row>
    <row r="100" ht="15.75" hidden="1" customHeight="1">
      <c r="B100" s="17" t="s">
        <v>213</v>
      </c>
      <c r="C100" s="17" t="s">
        <v>214</v>
      </c>
      <c r="D100" s="17" t="s">
        <v>24</v>
      </c>
      <c r="E100" s="17" t="s">
        <v>40</v>
      </c>
      <c r="F100" s="17" t="s">
        <v>26</v>
      </c>
      <c r="G100" s="17">
        <v>360.0</v>
      </c>
      <c r="H100" s="17">
        <v>72.0</v>
      </c>
      <c r="I100" s="17"/>
    </row>
    <row r="101" ht="15.75" hidden="1" customHeight="1">
      <c r="B101" s="19" t="s">
        <v>215</v>
      </c>
      <c r="C101" s="19" t="s">
        <v>115</v>
      </c>
      <c r="D101" s="19" t="s">
        <v>24</v>
      </c>
      <c r="E101" s="19" t="s">
        <v>30</v>
      </c>
      <c r="F101" s="19" t="s">
        <v>26</v>
      </c>
      <c r="G101" s="19">
        <v>339.0</v>
      </c>
      <c r="H101" s="19">
        <v>67.8</v>
      </c>
      <c r="I101" s="19"/>
    </row>
    <row r="102" ht="15.75" hidden="1" customHeight="1">
      <c r="B102" s="17" t="s">
        <v>216</v>
      </c>
      <c r="C102" s="17" t="s">
        <v>217</v>
      </c>
      <c r="D102" s="17" t="s">
        <v>17</v>
      </c>
      <c r="E102" s="17" t="s">
        <v>25</v>
      </c>
      <c r="F102" s="17" t="s">
        <v>47</v>
      </c>
      <c r="G102" s="17">
        <v>308.0</v>
      </c>
      <c r="H102" s="17">
        <v>61.6</v>
      </c>
      <c r="I102" s="17"/>
    </row>
    <row r="103" ht="15.75" hidden="1" customHeight="1">
      <c r="B103" s="19" t="s">
        <v>218</v>
      </c>
      <c r="C103" s="19" t="s">
        <v>219</v>
      </c>
      <c r="D103" s="19" t="s">
        <v>24</v>
      </c>
      <c r="E103" s="19" t="s">
        <v>40</v>
      </c>
      <c r="F103" s="19" t="s">
        <v>26</v>
      </c>
      <c r="G103" s="19">
        <v>318.0</v>
      </c>
      <c r="H103" s="19">
        <v>63.6</v>
      </c>
      <c r="I103" s="19"/>
    </row>
    <row r="104" ht="15.75" hidden="1" customHeight="1">
      <c r="B104" s="17" t="s">
        <v>220</v>
      </c>
      <c r="C104" s="17" t="s">
        <v>221</v>
      </c>
      <c r="D104" s="17" t="s">
        <v>24</v>
      </c>
      <c r="E104" s="17" t="s">
        <v>54</v>
      </c>
      <c r="F104" s="17" t="s">
        <v>19</v>
      </c>
      <c r="G104" s="17">
        <v>308.0</v>
      </c>
      <c r="H104" s="17">
        <v>61.6</v>
      </c>
      <c r="I104" s="17"/>
    </row>
    <row r="105" ht="15.75" hidden="1" customHeight="1">
      <c r="B105" s="19" t="s">
        <v>222</v>
      </c>
      <c r="C105" s="19" t="s">
        <v>223</v>
      </c>
      <c r="D105" s="19" t="s">
        <v>17</v>
      </c>
      <c r="E105" s="19" t="s">
        <v>25</v>
      </c>
      <c r="F105" s="19" t="s">
        <v>47</v>
      </c>
      <c r="G105" s="19">
        <v>387.0</v>
      </c>
      <c r="H105" s="19">
        <v>77.4</v>
      </c>
      <c r="I105" s="19"/>
    </row>
    <row r="106" ht="15.75" hidden="1" customHeight="1">
      <c r="B106" s="17" t="s">
        <v>224</v>
      </c>
      <c r="C106" s="17" t="s">
        <v>225</v>
      </c>
      <c r="D106" s="17" t="s">
        <v>17</v>
      </c>
      <c r="E106" s="17" t="s">
        <v>54</v>
      </c>
      <c r="F106" s="17" t="s">
        <v>47</v>
      </c>
      <c r="G106" s="17">
        <v>388.0</v>
      </c>
      <c r="H106" s="17">
        <v>77.6</v>
      </c>
      <c r="I106" s="17"/>
    </row>
    <row r="107" ht="15.75" hidden="1" customHeight="1">
      <c r="B107" s="19" t="s">
        <v>226</v>
      </c>
      <c r="C107" s="19" t="s">
        <v>227</v>
      </c>
      <c r="D107" s="19" t="s">
        <v>24</v>
      </c>
      <c r="E107" s="19" t="s">
        <v>18</v>
      </c>
      <c r="F107" s="19" t="s">
        <v>26</v>
      </c>
      <c r="G107" s="19">
        <v>349.0</v>
      </c>
      <c r="H107" s="19">
        <v>69.8</v>
      </c>
      <c r="I107" s="19"/>
    </row>
    <row r="108" ht="15.75" hidden="1" customHeight="1">
      <c r="B108" s="17" t="s">
        <v>228</v>
      </c>
      <c r="C108" s="17" t="s">
        <v>229</v>
      </c>
      <c r="D108" s="17" t="s">
        <v>17</v>
      </c>
      <c r="E108" s="17" t="s">
        <v>18</v>
      </c>
      <c r="F108" s="17" t="s">
        <v>47</v>
      </c>
      <c r="G108" s="17">
        <v>394.0</v>
      </c>
      <c r="H108" s="17">
        <v>78.8</v>
      </c>
      <c r="I108" s="17"/>
    </row>
    <row r="109" ht="15.75" hidden="1" customHeight="1">
      <c r="B109" s="19" t="s">
        <v>230</v>
      </c>
      <c r="C109" s="19" t="s">
        <v>231</v>
      </c>
      <c r="D109" s="19" t="s">
        <v>17</v>
      </c>
      <c r="E109" s="19" t="s">
        <v>40</v>
      </c>
      <c r="F109" s="19" t="s">
        <v>47</v>
      </c>
      <c r="G109" s="19">
        <v>327.0</v>
      </c>
      <c r="H109" s="19">
        <v>65.4</v>
      </c>
      <c r="I109" s="19"/>
    </row>
    <row r="110" ht="15.75" hidden="1" customHeight="1">
      <c r="B110" s="17" t="s">
        <v>232</v>
      </c>
      <c r="C110" s="17" t="s">
        <v>233</v>
      </c>
      <c r="D110" s="17" t="s">
        <v>17</v>
      </c>
      <c r="E110" s="17" t="s">
        <v>30</v>
      </c>
      <c r="F110" s="17" t="s">
        <v>19</v>
      </c>
      <c r="G110" s="17">
        <v>374.0</v>
      </c>
      <c r="H110" s="17">
        <v>74.8</v>
      </c>
      <c r="I110" s="17"/>
    </row>
    <row r="111" ht="15.75" hidden="1" customHeight="1">
      <c r="B111" s="19" t="s">
        <v>234</v>
      </c>
      <c r="C111" s="19" t="s">
        <v>235</v>
      </c>
      <c r="D111" s="19" t="s">
        <v>17</v>
      </c>
      <c r="E111" s="19" t="s">
        <v>25</v>
      </c>
      <c r="F111" s="19" t="s">
        <v>47</v>
      </c>
      <c r="G111" s="19">
        <v>256.0</v>
      </c>
      <c r="H111" s="19">
        <v>51.2</v>
      </c>
      <c r="I111" s="19"/>
    </row>
    <row r="112" ht="15.75" hidden="1" customHeight="1">
      <c r="B112" s="17" t="s">
        <v>236</v>
      </c>
      <c r="C112" s="17" t="s">
        <v>237</v>
      </c>
      <c r="D112" s="17" t="s">
        <v>17</v>
      </c>
      <c r="E112" s="17" t="s">
        <v>54</v>
      </c>
      <c r="F112" s="17" t="s">
        <v>47</v>
      </c>
      <c r="G112" s="17">
        <v>365.0</v>
      </c>
      <c r="H112" s="17">
        <v>73.0</v>
      </c>
      <c r="I112" s="17"/>
    </row>
    <row r="113" ht="15.75" hidden="1" customHeight="1">
      <c r="B113" s="19" t="s">
        <v>238</v>
      </c>
      <c r="C113" s="19" t="s">
        <v>239</v>
      </c>
      <c r="D113" s="19" t="s">
        <v>24</v>
      </c>
      <c r="E113" s="19" t="s">
        <v>30</v>
      </c>
      <c r="F113" s="19" t="s">
        <v>19</v>
      </c>
      <c r="G113" s="19">
        <v>279.0</v>
      </c>
      <c r="H113" s="19">
        <v>55.8</v>
      </c>
      <c r="I113" s="19"/>
    </row>
    <row r="114" ht="15.75" hidden="1" customHeight="1">
      <c r="B114" s="17" t="s">
        <v>240</v>
      </c>
      <c r="C114" s="17" t="s">
        <v>201</v>
      </c>
      <c r="D114" s="17" t="s">
        <v>17</v>
      </c>
      <c r="E114" s="17" t="s">
        <v>25</v>
      </c>
      <c r="F114" s="17" t="s">
        <v>47</v>
      </c>
      <c r="G114" s="17">
        <v>395.0</v>
      </c>
      <c r="H114" s="17">
        <v>79.0</v>
      </c>
      <c r="I114" s="17"/>
    </row>
    <row r="115" ht="15.75" hidden="1" customHeight="1">
      <c r="B115" s="19" t="s">
        <v>241</v>
      </c>
      <c r="C115" s="19" t="s">
        <v>242</v>
      </c>
      <c r="D115" s="19" t="s">
        <v>24</v>
      </c>
      <c r="E115" s="19" t="s">
        <v>40</v>
      </c>
      <c r="F115" s="19" t="s">
        <v>19</v>
      </c>
      <c r="G115" s="19">
        <v>308.0</v>
      </c>
      <c r="H115" s="19">
        <v>61.6</v>
      </c>
      <c r="I115" s="19"/>
    </row>
    <row r="116" ht="15.75" hidden="1" customHeight="1">
      <c r="B116" s="17" t="s">
        <v>243</v>
      </c>
      <c r="C116" s="17" t="s">
        <v>244</v>
      </c>
      <c r="D116" s="17" t="s">
        <v>17</v>
      </c>
      <c r="E116" s="17" t="s">
        <v>25</v>
      </c>
      <c r="F116" s="17" t="s">
        <v>19</v>
      </c>
      <c r="G116" s="17">
        <v>340.0</v>
      </c>
      <c r="H116" s="17">
        <v>68.0</v>
      </c>
      <c r="I116" s="17"/>
    </row>
    <row r="117" ht="15.75" hidden="1" customHeight="1">
      <c r="B117" s="19" t="s">
        <v>245</v>
      </c>
      <c r="C117" s="19" t="s">
        <v>246</v>
      </c>
      <c r="D117" s="19" t="s">
        <v>24</v>
      </c>
      <c r="E117" s="19" t="s">
        <v>40</v>
      </c>
      <c r="F117" s="19" t="s">
        <v>47</v>
      </c>
      <c r="G117" s="19">
        <v>362.0</v>
      </c>
      <c r="H117" s="19">
        <v>72.4</v>
      </c>
      <c r="I117" s="19"/>
    </row>
    <row r="118" ht="15.75" hidden="1" customHeight="1">
      <c r="B118" s="17" t="s">
        <v>247</v>
      </c>
      <c r="C118" s="17" t="s">
        <v>145</v>
      </c>
      <c r="D118" s="17" t="s">
        <v>17</v>
      </c>
      <c r="E118" s="17" t="s">
        <v>54</v>
      </c>
      <c r="F118" s="17" t="s">
        <v>19</v>
      </c>
      <c r="G118" s="17">
        <v>315.0</v>
      </c>
      <c r="H118" s="17">
        <v>63.0</v>
      </c>
      <c r="I118" s="17"/>
    </row>
    <row r="119" ht="15.75" hidden="1" customHeight="1">
      <c r="B119" s="19" t="s">
        <v>248</v>
      </c>
      <c r="C119" s="19" t="s">
        <v>211</v>
      </c>
      <c r="D119" s="19" t="s">
        <v>17</v>
      </c>
      <c r="E119" s="19" t="s">
        <v>54</v>
      </c>
      <c r="F119" s="19" t="s">
        <v>19</v>
      </c>
      <c r="G119" s="19">
        <v>384.0</v>
      </c>
      <c r="H119" s="19">
        <v>76.8</v>
      </c>
      <c r="I119" s="19"/>
    </row>
    <row r="120" ht="15.75" hidden="1" customHeight="1">
      <c r="B120" s="17" t="s">
        <v>249</v>
      </c>
      <c r="C120" s="17" t="s">
        <v>250</v>
      </c>
      <c r="D120" s="17" t="s">
        <v>24</v>
      </c>
      <c r="E120" s="17" t="s">
        <v>18</v>
      </c>
      <c r="F120" s="17" t="s">
        <v>47</v>
      </c>
      <c r="G120" s="17">
        <v>391.0</v>
      </c>
      <c r="H120" s="17">
        <v>78.2</v>
      </c>
      <c r="I120" s="17"/>
    </row>
    <row r="121" ht="15.75" hidden="1" customHeight="1">
      <c r="B121" s="19" t="s">
        <v>251</v>
      </c>
      <c r="C121" s="19" t="s">
        <v>252</v>
      </c>
      <c r="D121" s="19" t="s">
        <v>24</v>
      </c>
      <c r="E121" s="19" t="s">
        <v>54</v>
      </c>
      <c r="F121" s="19" t="s">
        <v>19</v>
      </c>
      <c r="G121" s="19">
        <v>362.0</v>
      </c>
      <c r="H121" s="19">
        <v>72.4</v>
      </c>
      <c r="I121" s="19"/>
    </row>
    <row r="122" ht="15.75" hidden="1" customHeight="1">
      <c r="B122" s="17" t="s">
        <v>253</v>
      </c>
      <c r="C122" s="17" t="s">
        <v>250</v>
      </c>
      <c r="D122" s="17" t="s">
        <v>17</v>
      </c>
      <c r="E122" s="17" t="s">
        <v>25</v>
      </c>
      <c r="F122" s="17" t="s">
        <v>19</v>
      </c>
      <c r="G122" s="17">
        <v>389.0</v>
      </c>
      <c r="H122" s="17">
        <v>77.8</v>
      </c>
      <c r="I122" s="17"/>
    </row>
    <row r="123" ht="15.75" hidden="1" customHeight="1">
      <c r="B123" s="19" t="s">
        <v>254</v>
      </c>
      <c r="C123" s="19" t="s">
        <v>107</v>
      </c>
      <c r="D123" s="19" t="s">
        <v>24</v>
      </c>
      <c r="E123" s="19" t="s">
        <v>54</v>
      </c>
      <c r="F123" s="19" t="s">
        <v>26</v>
      </c>
      <c r="G123" s="19">
        <v>298.0</v>
      </c>
      <c r="H123" s="19">
        <v>59.6</v>
      </c>
      <c r="I123" s="19"/>
    </row>
    <row r="124" ht="15.75" hidden="1" customHeight="1">
      <c r="B124" s="17" t="s">
        <v>255</v>
      </c>
      <c r="C124" s="17" t="s">
        <v>256</v>
      </c>
      <c r="D124" s="17" t="s">
        <v>17</v>
      </c>
      <c r="E124" s="17" t="s">
        <v>18</v>
      </c>
      <c r="F124" s="17" t="s">
        <v>47</v>
      </c>
      <c r="G124" s="17">
        <v>351.0</v>
      </c>
      <c r="H124" s="17">
        <v>70.2</v>
      </c>
      <c r="I124" s="17"/>
    </row>
    <row r="125" ht="15.75" hidden="1" customHeight="1">
      <c r="B125" s="19" t="s">
        <v>257</v>
      </c>
      <c r="C125" s="19" t="s">
        <v>204</v>
      </c>
      <c r="D125" s="19" t="s">
        <v>24</v>
      </c>
      <c r="E125" s="19" t="s">
        <v>54</v>
      </c>
      <c r="F125" s="19" t="s">
        <v>47</v>
      </c>
      <c r="G125" s="19">
        <v>309.0</v>
      </c>
      <c r="H125" s="19">
        <v>61.8</v>
      </c>
      <c r="I125" s="19"/>
    </row>
    <row r="126" ht="15.75" hidden="1" customHeight="1">
      <c r="B126" s="17" t="s">
        <v>258</v>
      </c>
      <c r="C126" s="17" t="s">
        <v>259</v>
      </c>
      <c r="D126" s="17" t="s">
        <v>24</v>
      </c>
      <c r="E126" s="17" t="s">
        <v>30</v>
      </c>
      <c r="F126" s="17" t="s">
        <v>19</v>
      </c>
      <c r="G126" s="17">
        <v>283.0</v>
      </c>
      <c r="H126" s="17">
        <v>56.6</v>
      </c>
      <c r="I126" s="17"/>
    </row>
    <row r="127" ht="15.75" hidden="1" customHeight="1">
      <c r="B127" s="19" t="s">
        <v>260</v>
      </c>
      <c r="C127" s="19" t="s">
        <v>261</v>
      </c>
      <c r="D127" s="19" t="s">
        <v>24</v>
      </c>
      <c r="E127" s="19" t="s">
        <v>54</v>
      </c>
      <c r="F127" s="19" t="s">
        <v>19</v>
      </c>
      <c r="G127" s="19">
        <v>347.0</v>
      </c>
      <c r="H127" s="19">
        <v>69.4</v>
      </c>
      <c r="I127" s="19"/>
    </row>
    <row r="128" ht="15.75" hidden="1" customHeight="1">
      <c r="B128" s="17" t="s">
        <v>262</v>
      </c>
      <c r="C128" s="17" t="s">
        <v>263</v>
      </c>
      <c r="D128" s="17" t="s">
        <v>17</v>
      </c>
      <c r="E128" s="17" t="s">
        <v>30</v>
      </c>
      <c r="F128" s="17" t="s">
        <v>47</v>
      </c>
      <c r="G128" s="17">
        <v>270.0</v>
      </c>
      <c r="H128" s="17">
        <v>54.0</v>
      </c>
      <c r="I128" s="17"/>
    </row>
    <row r="129" ht="15.75" hidden="1" customHeight="1">
      <c r="B129" s="19" t="s">
        <v>264</v>
      </c>
      <c r="C129" s="19" t="s">
        <v>265</v>
      </c>
      <c r="D129" s="19" t="s">
        <v>24</v>
      </c>
      <c r="E129" s="19" t="s">
        <v>25</v>
      </c>
      <c r="F129" s="19" t="s">
        <v>47</v>
      </c>
      <c r="G129" s="19">
        <v>388.0</v>
      </c>
      <c r="H129" s="19">
        <v>77.6</v>
      </c>
      <c r="I129" s="19"/>
    </row>
    <row r="130" ht="15.75" hidden="1" customHeight="1">
      <c r="B130" s="17" t="s">
        <v>266</v>
      </c>
      <c r="C130" s="17" t="s">
        <v>242</v>
      </c>
      <c r="D130" s="17" t="s">
        <v>17</v>
      </c>
      <c r="E130" s="17" t="s">
        <v>25</v>
      </c>
      <c r="F130" s="17" t="s">
        <v>26</v>
      </c>
      <c r="G130" s="17">
        <v>365.0</v>
      </c>
      <c r="H130" s="17">
        <v>73.0</v>
      </c>
      <c r="I130" s="17"/>
    </row>
    <row r="131" ht="15.75" customHeight="1">
      <c r="A131" s="21"/>
      <c r="B131" s="19" t="s">
        <v>267</v>
      </c>
      <c r="C131" s="19" t="s">
        <v>268</v>
      </c>
      <c r="D131" s="19" t="s">
        <v>17</v>
      </c>
      <c r="E131" s="19" t="s">
        <v>40</v>
      </c>
      <c r="F131" s="19" t="s">
        <v>47</v>
      </c>
      <c r="G131" s="19">
        <v>423.0</v>
      </c>
      <c r="H131" s="19">
        <v>84.6</v>
      </c>
      <c r="I131" s="19"/>
    </row>
    <row r="132" ht="15.75" hidden="1" customHeight="1">
      <c r="B132" s="17" t="s">
        <v>269</v>
      </c>
      <c r="C132" s="17" t="s">
        <v>270</v>
      </c>
      <c r="D132" s="17" t="s">
        <v>17</v>
      </c>
      <c r="E132" s="17" t="s">
        <v>40</v>
      </c>
      <c r="F132" s="17" t="s">
        <v>26</v>
      </c>
      <c r="G132" s="17">
        <v>290.0</v>
      </c>
      <c r="H132" s="17">
        <v>58.0</v>
      </c>
      <c r="I132" s="17"/>
    </row>
    <row r="133" ht="15.75" hidden="1" customHeight="1">
      <c r="B133" s="19" t="s">
        <v>271</v>
      </c>
      <c r="C133" s="19" t="s">
        <v>235</v>
      </c>
      <c r="D133" s="19" t="s">
        <v>24</v>
      </c>
      <c r="E133" s="19" t="s">
        <v>54</v>
      </c>
      <c r="F133" s="19" t="s">
        <v>26</v>
      </c>
      <c r="G133" s="19">
        <v>333.0</v>
      </c>
      <c r="H133" s="19">
        <v>66.6</v>
      </c>
      <c r="I133" s="19"/>
    </row>
    <row r="134" ht="15.75" hidden="1" customHeight="1">
      <c r="B134" s="17" t="s">
        <v>272</v>
      </c>
      <c r="C134" s="17" t="s">
        <v>59</v>
      </c>
      <c r="D134" s="17" t="s">
        <v>17</v>
      </c>
      <c r="E134" s="17" t="s">
        <v>18</v>
      </c>
      <c r="F134" s="17" t="s">
        <v>47</v>
      </c>
      <c r="G134" s="17">
        <v>393.0</v>
      </c>
      <c r="H134" s="17">
        <v>78.6</v>
      </c>
      <c r="I134" s="17"/>
    </row>
    <row r="135" ht="15.75" hidden="1" customHeight="1">
      <c r="B135" s="19" t="s">
        <v>273</v>
      </c>
      <c r="C135" s="19" t="s">
        <v>274</v>
      </c>
      <c r="D135" s="19" t="s">
        <v>17</v>
      </c>
      <c r="E135" s="19" t="s">
        <v>40</v>
      </c>
      <c r="F135" s="19" t="s">
        <v>26</v>
      </c>
      <c r="G135" s="19">
        <v>370.0</v>
      </c>
      <c r="H135" s="19">
        <v>74.0</v>
      </c>
      <c r="I135" s="19"/>
    </row>
    <row r="136" ht="15.75" hidden="1" customHeight="1">
      <c r="B136" s="17" t="s">
        <v>275</v>
      </c>
      <c r="C136" s="17" t="s">
        <v>51</v>
      </c>
      <c r="D136" s="17" t="s">
        <v>17</v>
      </c>
      <c r="E136" s="17" t="s">
        <v>18</v>
      </c>
      <c r="F136" s="17" t="s">
        <v>47</v>
      </c>
      <c r="G136" s="17">
        <v>356.0</v>
      </c>
      <c r="H136" s="17">
        <v>71.2</v>
      </c>
      <c r="I136" s="17"/>
    </row>
    <row r="137" ht="15.75" hidden="1" customHeight="1">
      <c r="B137" s="19" t="s">
        <v>276</v>
      </c>
      <c r="C137" s="19" t="s">
        <v>277</v>
      </c>
      <c r="D137" s="19" t="s">
        <v>24</v>
      </c>
      <c r="E137" s="19" t="s">
        <v>54</v>
      </c>
      <c r="F137" s="19" t="s">
        <v>47</v>
      </c>
      <c r="G137" s="19">
        <v>355.0</v>
      </c>
      <c r="H137" s="19">
        <v>71.0</v>
      </c>
      <c r="I137" s="19"/>
    </row>
    <row r="138" ht="15.75" hidden="1" customHeight="1">
      <c r="B138" s="17" t="s">
        <v>278</v>
      </c>
      <c r="C138" s="17" t="s">
        <v>279</v>
      </c>
      <c r="D138" s="17" t="s">
        <v>24</v>
      </c>
      <c r="E138" s="17" t="s">
        <v>54</v>
      </c>
      <c r="F138" s="17" t="s">
        <v>19</v>
      </c>
      <c r="G138" s="17">
        <v>402.0</v>
      </c>
      <c r="H138" s="17">
        <v>80.4</v>
      </c>
      <c r="I138" s="17"/>
    </row>
    <row r="139" ht="15.75" hidden="1" customHeight="1">
      <c r="B139" s="19" t="s">
        <v>280</v>
      </c>
      <c r="C139" s="19" t="s">
        <v>281</v>
      </c>
      <c r="D139" s="19" t="s">
        <v>24</v>
      </c>
      <c r="E139" s="19" t="s">
        <v>18</v>
      </c>
      <c r="F139" s="19" t="s">
        <v>19</v>
      </c>
      <c r="G139" s="19">
        <v>384.0</v>
      </c>
      <c r="H139" s="19">
        <v>76.8</v>
      </c>
      <c r="I139" s="19"/>
    </row>
    <row r="140" ht="15.75" hidden="1" customHeight="1">
      <c r="B140" s="17" t="s">
        <v>282</v>
      </c>
      <c r="C140" s="17" t="s">
        <v>283</v>
      </c>
      <c r="D140" s="17" t="s">
        <v>17</v>
      </c>
      <c r="E140" s="17" t="s">
        <v>40</v>
      </c>
      <c r="F140" s="17" t="s">
        <v>19</v>
      </c>
      <c r="G140" s="17">
        <v>360.0</v>
      </c>
      <c r="H140" s="17">
        <v>72.0</v>
      </c>
      <c r="I140" s="17"/>
    </row>
    <row r="141" ht="15.75" hidden="1" customHeight="1">
      <c r="B141" s="19" t="s">
        <v>284</v>
      </c>
      <c r="C141" s="19" t="s">
        <v>285</v>
      </c>
      <c r="D141" s="19" t="s">
        <v>17</v>
      </c>
      <c r="E141" s="19" t="s">
        <v>40</v>
      </c>
      <c r="F141" s="19" t="s">
        <v>47</v>
      </c>
      <c r="G141" s="19">
        <v>282.0</v>
      </c>
      <c r="H141" s="19">
        <v>56.4</v>
      </c>
      <c r="I141" s="19"/>
    </row>
    <row r="142" ht="15.75" hidden="1" customHeight="1">
      <c r="B142" s="17" t="s">
        <v>286</v>
      </c>
      <c r="C142" s="17" t="s">
        <v>287</v>
      </c>
      <c r="D142" s="17" t="s">
        <v>24</v>
      </c>
      <c r="E142" s="17" t="s">
        <v>18</v>
      </c>
      <c r="F142" s="17" t="s">
        <v>47</v>
      </c>
      <c r="G142" s="17">
        <v>324.0</v>
      </c>
      <c r="H142" s="17">
        <v>64.8</v>
      </c>
      <c r="I142" s="17"/>
    </row>
    <row r="143" ht="15.75" hidden="1" customHeight="1">
      <c r="B143" s="19" t="s">
        <v>288</v>
      </c>
      <c r="C143" s="19" t="s">
        <v>289</v>
      </c>
      <c r="D143" s="19" t="s">
        <v>24</v>
      </c>
      <c r="E143" s="19" t="s">
        <v>40</v>
      </c>
      <c r="F143" s="19" t="s">
        <v>26</v>
      </c>
      <c r="G143" s="19">
        <v>363.0</v>
      </c>
      <c r="H143" s="19">
        <v>72.6</v>
      </c>
      <c r="I143" s="19"/>
    </row>
    <row r="144" ht="15.75" hidden="1" customHeight="1">
      <c r="B144" s="17" t="s">
        <v>290</v>
      </c>
      <c r="C144" s="17" t="s">
        <v>291</v>
      </c>
      <c r="D144" s="17" t="s">
        <v>24</v>
      </c>
      <c r="E144" s="17" t="s">
        <v>25</v>
      </c>
      <c r="F144" s="17" t="s">
        <v>19</v>
      </c>
      <c r="G144" s="17">
        <v>325.0</v>
      </c>
      <c r="H144" s="17">
        <v>65.0</v>
      </c>
      <c r="I144" s="17"/>
    </row>
    <row r="145" ht="15.75" hidden="1" customHeight="1">
      <c r="B145" s="19" t="s">
        <v>292</v>
      </c>
      <c r="C145" s="19" t="s">
        <v>277</v>
      </c>
      <c r="D145" s="19" t="s">
        <v>17</v>
      </c>
      <c r="E145" s="19" t="s">
        <v>25</v>
      </c>
      <c r="F145" s="19" t="s">
        <v>26</v>
      </c>
      <c r="G145" s="19">
        <v>329.0</v>
      </c>
      <c r="H145" s="19">
        <v>65.8</v>
      </c>
      <c r="I145" s="19"/>
    </row>
    <row r="146" ht="15.75" hidden="1" customHeight="1">
      <c r="B146" s="17" t="s">
        <v>293</v>
      </c>
      <c r="C146" s="17" t="s">
        <v>59</v>
      </c>
      <c r="D146" s="17" t="s">
        <v>17</v>
      </c>
      <c r="E146" s="17" t="s">
        <v>54</v>
      </c>
      <c r="F146" s="17" t="s">
        <v>26</v>
      </c>
      <c r="G146" s="17">
        <v>312.0</v>
      </c>
      <c r="H146" s="17">
        <v>62.4</v>
      </c>
      <c r="I146" s="17"/>
    </row>
    <row r="147" ht="15.75" hidden="1" customHeight="1">
      <c r="B147" s="19" t="s">
        <v>294</v>
      </c>
      <c r="C147" s="19" t="s">
        <v>295</v>
      </c>
      <c r="D147" s="19" t="s">
        <v>24</v>
      </c>
      <c r="E147" s="19" t="s">
        <v>25</v>
      </c>
      <c r="F147" s="19" t="s">
        <v>19</v>
      </c>
      <c r="G147" s="19">
        <v>369.0</v>
      </c>
      <c r="H147" s="19">
        <v>73.8</v>
      </c>
      <c r="I147" s="19"/>
    </row>
    <row r="148" ht="15.75" hidden="1" customHeight="1">
      <c r="B148" s="17" t="s">
        <v>296</v>
      </c>
      <c r="C148" s="17" t="s">
        <v>297</v>
      </c>
      <c r="D148" s="17" t="s">
        <v>17</v>
      </c>
      <c r="E148" s="17" t="s">
        <v>18</v>
      </c>
      <c r="F148" s="17" t="s">
        <v>47</v>
      </c>
      <c r="G148" s="17">
        <v>341.0</v>
      </c>
      <c r="H148" s="17">
        <v>68.2</v>
      </c>
      <c r="I148" s="17"/>
    </row>
    <row r="149" ht="15.75" hidden="1" customHeight="1">
      <c r="B149" s="19" t="s">
        <v>298</v>
      </c>
      <c r="C149" s="19" t="s">
        <v>299</v>
      </c>
      <c r="D149" s="19" t="s">
        <v>24</v>
      </c>
      <c r="E149" s="19" t="s">
        <v>30</v>
      </c>
      <c r="F149" s="19" t="s">
        <v>47</v>
      </c>
      <c r="G149" s="19">
        <v>382.0</v>
      </c>
      <c r="H149" s="19">
        <v>76.4</v>
      </c>
      <c r="I149" s="19"/>
    </row>
    <row r="150" ht="15.75" hidden="1" customHeight="1">
      <c r="B150" s="17" t="s">
        <v>300</v>
      </c>
      <c r="C150" s="17" t="s">
        <v>301</v>
      </c>
      <c r="D150" s="17" t="s">
        <v>17</v>
      </c>
      <c r="E150" s="17" t="s">
        <v>25</v>
      </c>
      <c r="F150" s="17" t="s">
        <v>19</v>
      </c>
      <c r="G150" s="17">
        <v>395.0</v>
      </c>
      <c r="H150" s="17">
        <v>79.0</v>
      </c>
      <c r="I150" s="17"/>
    </row>
    <row r="151" ht="15.75" hidden="1" customHeight="1">
      <c r="B151" s="19" t="s">
        <v>302</v>
      </c>
      <c r="C151" s="19" t="s">
        <v>208</v>
      </c>
      <c r="D151" s="19" t="s">
        <v>17</v>
      </c>
      <c r="E151" s="19" t="s">
        <v>40</v>
      </c>
      <c r="F151" s="19" t="s">
        <v>19</v>
      </c>
      <c r="G151" s="19">
        <v>350.0</v>
      </c>
      <c r="H151" s="19">
        <v>70.0</v>
      </c>
      <c r="I151" s="19"/>
    </row>
    <row r="152" ht="15.75" hidden="1" customHeight="1">
      <c r="B152" s="17" t="s">
        <v>303</v>
      </c>
      <c r="C152" s="17" t="s">
        <v>304</v>
      </c>
      <c r="D152" s="17" t="s">
        <v>24</v>
      </c>
      <c r="E152" s="17" t="s">
        <v>25</v>
      </c>
      <c r="F152" s="17" t="s">
        <v>47</v>
      </c>
      <c r="G152" s="17">
        <v>342.0</v>
      </c>
      <c r="H152" s="17">
        <v>68.4</v>
      </c>
      <c r="I152" s="17"/>
    </row>
    <row r="153" ht="15.75" hidden="1" customHeight="1">
      <c r="B153" s="19" t="s">
        <v>305</v>
      </c>
      <c r="C153" s="19" t="s">
        <v>306</v>
      </c>
      <c r="D153" s="19" t="s">
        <v>17</v>
      </c>
      <c r="E153" s="19" t="s">
        <v>25</v>
      </c>
      <c r="F153" s="19" t="s">
        <v>19</v>
      </c>
      <c r="G153" s="19">
        <v>333.0</v>
      </c>
      <c r="H153" s="19">
        <v>66.6</v>
      </c>
      <c r="I153" s="19"/>
    </row>
    <row r="154" ht="15.75" hidden="1" customHeight="1">
      <c r="B154" s="17" t="s">
        <v>307</v>
      </c>
      <c r="C154" s="17" t="s">
        <v>85</v>
      </c>
      <c r="D154" s="17" t="s">
        <v>17</v>
      </c>
      <c r="E154" s="17" t="s">
        <v>30</v>
      </c>
      <c r="F154" s="17" t="s">
        <v>19</v>
      </c>
      <c r="G154" s="17">
        <v>335.0</v>
      </c>
      <c r="H154" s="17">
        <v>67.0</v>
      </c>
      <c r="I154" s="17"/>
    </row>
    <row r="155" ht="15.75" hidden="1" customHeight="1">
      <c r="B155" s="19" t="s">
        <v>308</v>
      </c>
      <c r="C155" s="19" t="s">
        <v>309</v>
      </c>
      <c r="D155" s="19" t="s">
        <v>24</v>
      </c>
      <c r="E155" s="19" t="s">
        <v>54</v>
      </c>
      <c r="F155" s="19" t="s">
        <v>26</v>
      </c>
      <c r="G155" s="19">
        <v>401.0</v>
      </c>
      <c r="H155" s="19">
        <v>80.2</v>
      </c>
      <c r="I155" s="19"/>
    </row>
    <row r="156" ht="15.75" hidden="1" customHeight="1">
      <c r="B156" s="17" t="s">
        <v>310</v>
      </c>
      <c r="C156" s="17" t="s">
        <v>311</v>
      </c>
      <c r="D156" s="17" t="s">
        <v>17</v>
      </c>
      <c r="E156" s="17" t="s">
        <v>18</v>
      </c>
      <c r="F156" s="17" t="s">
        <v>26</v>
      </c>
      <c r="G156" s="17">
        <v>348.0</v>
      </c>
      <c r="H156" s="17">
        <v>69.6</v>
      </c>
      <c r="I156" s="17"/>
    </row>
    <row r="157" ht="15.75" hidden="1" customHeight="1">
      <c r="B157" s="19" t="s">
        <v>312</v>
      </c>
      <c r="C157" s="19" t="s">
        <v>313</v>
      </c>
      <c r="D157" s="19" t="s">
        <v>24</v>
      </c>
      <c r="E157" s="19" t="s">
        <v>40</v>
      </c>
      <c r="F157" s="19" t="s">
        <v>19</v>
      </c>
      <c r="G157" s="19">
        <v>291.0</v>
      </c>
      <c r="H157" s="19">
        <v>58.2</v>
      </c>
      <c r="I157" s="19"/>
    </row>
    <row r="158" ht="15.75" hidden="1" customHeight="1">
      <c r="B158" s="17" t="s">
        <v>314</v>
      </c>
      <c r="C158" s="17" t="s">
        <v>315</v>
      </c>
      <c r="D158" s="17" t="s">
        <v>17</v>
      </c>
      <c r="E158" s="17" t="s">
        <v>30</v>
      </c>
      <c r="F158" s="17" t="s">
        <v>47</v>
      </c>
      <c r="G158" s="17">
        <v>311.0</v>
      </c>
      <c r="H158" s="17">
        <v>62.2</v>
      </c>
      <c r="I158" s="17"/>
    </row>
    <row r="159" ht="15.75" hidden="1" customHeight="1">
      <c r="B159" s="19" t="s">
        <v>316</v>
      </c>
      <c r="C159" s="19" t="s">
        <v>225</v>
      </c>
      <c r="D159" s="19" t="s">
        <v>24</v>
      </c>
      <c r="E159" s="19" t="s">
        <v>40</v>
      </c>
      <c r="F159" s="19" t="s">
        <v>19</v>
      </c>
      <c r="G159" s="19">
        <v>354.0</v>
      </c>
      <c r="H159" s="19">
        <v>70.8</v>
      </c>
      <c r="I159" s="19"/>
    </row>
    <row r="160" ht="15.75" hidden="1" customHeight="1">
      <c r="B160" s="17" t="s">
        <v>317</v>
      </c>
      <c r="C160" s="17" t="s">
        <v>318</v>
      </c>
      <c r="D160" s="17" t="s">
        <v>17</v>
      </c>
      <c r="E160" s="17" t="s">
        <v>30</v>
      </c>
      <c r="F160" s="17" t="s">
        <v>47</v>
      </c>
      <c r="G160" s="17">
        <v>284.0</v>
      </c>
      <c r="H160" s="17">
        <v>56.8</v>
      </c>
      <c r="I160" s="17"/>
    </row>
    <row r="161" ht="15.75" hidden="1" customHeight="1">
      <c r="B161" s="19" t="s">
        <v>319</v>
      </c>
      <c r="C161" s="19" t="s">
        <v>320</v>
      </c>
      <c r="D161" s="19" t="s">
        <v>17</v>
      </c>
      <c r="E161" s="19" t="s">
        <v>54</v>
      </c>
      <c r="F161" s="19" t="s">
        <v>19</v>
      </c>
      <c r="G161" s="19">
        <v>335.0</v>
      </c>
      <c r="H161" s="19">
        <v>67.0</v>
      </c>
      <c r="I161" s="19"/>
    </row>
    <row r="162" ht="15.75" hidden="1" customHeight="1">
      <c r="B162" s="17" t="s">
        <v>321</v>
      </c>
      <c r="C162" s="17" t="s">
        <v>281</v>
      </c>
      <c r="D162" s="17" t="s">
        <v>17</v>
      </c>
      <c r="E162" s="17" t="s">
        <v>25</v>
      </c>
      <c r="F162" s="17" t="s">
        <v>19</v>
      </c>
      <c r="G162" s="17">
        <v>341.0</v>
      </c>
      <c r="H162" s="17">
        <v>68.2</v>
      </c>
      <c r="I162" s="17"/>
    </row>
    <row r="163" ht="15.75" hidden="1" customHeight="1">
      <c r="B163" s="19" t="s">
        <v>322</v>
      </c>
      <c r="C163" s="19" t="s">
        <v>137</v>
      </c>
      <c r="D163" s="19" t="s">
        <v>24</v>
      </c>
      <c r="E163" s="19" t="s">
        <v>18</v>
      </c>
      <c r="F163" s="19" t="s">
        <v>26</v>
      </c>
      <c r="G163" s="19">
        <v>340.0</v>
      </c>
      <c r="H163" s="19">
        <v>68.0</v>
      </c>
      <c r="I163" s="19"/>
    </row>
    <row r="164" ht="15.75" hidden="1" customHeight="1">
      <c r="B164" s="17" t="s">
        <v>323</v>
      </c>
      <c r="C164" s="17" t="s">
        <v>324</v>
      </c>
      <c r="D164" s="17" t="s">
        <v>24</v>
      </c>
      <c r="E164" s="17" t="s">
        <v>30</v>
      </c>
      <c r="F164" s="17" t="s">
        <v>47</v>
      </c>
      <c r="G164" s="17">
        <v>349.0</v>
      </c>
      <c r="H164" s="17">
        <v>69.8</v>
      </c>
      <c r="I164" s="17"/>
    </row>
    <row r="165" ht="15.75" hidden="1" customHeight="1">
      <c r="B165" s="19" t="s">
        <v>325</v>
      </c>
      <c r="C165" s="19" t="s">
        <v>326</v>
      </c>
      <c r="D165" s="19" t="s">
        <v>24</v>
      </c>
      <c r="E165" s="19" t="s">
        <v>40</v>
      </c>
      <c r="F165" s="19" t="s">
        <v>26</v>
      </c>
      <c r="G165" s="19">
        <v>423.0</v>
      </c>
      <c r="H165" s="19">
        <v>84.6</v>
      </c>
      <c r="I165" s="19"/>
    </row>
    <row r="166" ht="15.75" hidden="1" customHeight="1">
      <c r="B166" s="17" t="s">
        <v>327</v>
      </c>
      <c r="C166" s="17" t="s">
        <v>328</v>
      </c>
      <c r="D166" s="17" t="s">
        <v>24</v>
      </c>
      <c r="E166" s="17" t="s">
        <v>30</v>
      </c>
      <c r="F166" s="17" t="s">
        <v>26</v>
      </c>
      <c r="G166" s="17">
        <v>264.0</v>
      </c>
      <c r="H166" s="17">
        <v>52.8</v>
      </c>
      <c r="I166" s="17"/>
    </row>
    <row r="167" ht="15.75" hidden="1" customHeight="1">
      <c r="B167" s="19" t="s">
        <v>329</v>
      </c>
      <c r="C167" s="19" t="s">
        <v>330</v>
      </c>
      <c r="D167" s="19" t="s">
        <v>24</v>
      </c>
      <c r="E167" s="19" t="s">
        <v>18</v>
      </c>
      <c r="F167" s="19" t="s">
        <v>47</v>
      </c>
      <c r="G167" s="19">
        <v>358.0</v>
      </c>
      <c r="H167" s="19">
        <v>71.6</v>
      </c>
      <c r="I167" s="19"/>
    </row>
    <row r="168" ht="15.75" hidden="1" customHeight="1">
      <c r="B168" s="17" t="s">
        <v>331</v>
      </c>
      <c r="C168" s="17" t="s">
        <v>109</v>
      </c>
      <c r="D168" s="17" t="s">
        <v>24</v>
      </c>
      <c r="E168" s="17" t="s">
        <v>40</v>
      </c>
      <c r="F168" s="17" t="s">
        <v>47</v>
      </c>
      <c r="G168" s="17">
        <v>286.0</v>
      </c>
      <c r="H168" s="17">
        <v>57.2</v>
      </c>
      <c r="I168" s="17"/>
    </row>
    <row r="169" ht="15.75" hidden="1" customHeight="1">
      <c r="B169" s="19" t="s">
        <v>332</v>
      </c>
      <c r="C169" s="19" t="s">
        <v>333</v>
      </c>
      <c r="D169" s="19" t="s">
        <v>17</v>
      </c>
      <c r="E169" s="19" t="s">
        <v>18</v>
      </c>
      <c r="F169" s="19" t="s">
        <v>47</v>
      </c>
      <c r="G169" s="19">
        <v>334.0</v>
      </c>
      <c r="H169" s="19">
        <v>66.8</v>
      </c>
      <c r="I169" s="19"/>
    </row>
    <row r="170" ht="15.75" hidden="1" customHeight="1">
      <c r="B170" s="17" t="s">
        <v>334</v>
      </c>
      <c r="C170" s="17" t="s">
        <v>335</v>
      </c>
      <c r="D170" s="17" t="s">
        <v>24</v>
      </c>
      <c r="E170" s="17" t="s">
        <v>54</v>
      </c>
      <c r="F170" s="17" t="s">
        <v>47</v>
      </c>
      <c r="G170" s="17">
        <v>382.0</v>
      </c>
      <c r="H170" s="17">
        <v>76.4</v>
      </c>
      <c r="I170" s="17"/>
    </row>
    <row r="171" ht="15.75" hidden="1" customHeight="1">
      <c r="B171" s="19" t="s">
        <v>336</v>
      </c>
      <c r="C171" s="19" t="s">
        <v>156</v>
      </c>
      <c r="D171" s="19" t="s">
        <v>24</v>
      </c>
      <c r="E171" s="19" t="s">
        <v>18</v>
      </c>
      <c r="F171" s="19" t="s">
        <v>47</v>
      </c>
      <c r="G171" s="19">
        <v>345.0</v>
      </c>
      <c r="H171" s="19">
        <v>69.0</v>
      </c>
      <c r="I171" s="19"/>
    </row>
    <row r="172" ht="15.75" hidden="1" customHeight="1">
      <c r="B172" s="17" t="s">
        <v>337</v>
      </c>
      <c r="C172" s="17" t="s">
        <v>338</v>
      </c>
      <c r="D172" s="17" t="s">
        <v>17</v>
      </c>
      <c r="E172" s="17" t="s">
        <v>18</v>
      </c>
      <c r="F172" s="17" t="s">
        <v>47</v>
      </c>
      <c r="G172" s="17">
        <v>349.0</v>
      </c>
      <c r="H172" s="17">
        <v>69.8</v>
      </c>
      <c r="I172" s="17"/>
    </row>
    <row r="173" ht="15.75" hidden="1" customHeight="1">
      <c r="B173" s="19" t="s">
        <v>339</v>
      </c>
      <c r="C173" s="19" t="s">
        <v>340</v>
      </c>
      <c r="D173" s="19" t="s">
        <v>17</v>
      </c>
      <c r="E173" s="19" t="s">
        <v>30</v>
      </c>
      <c r="F173" s="19" t="s">
        <v>26</v>
      </c>
      <c r="G173" s="19">
        <v>365.0</v>
      </c>
      <c r="H173" s="19">
        <v>73.0</v>
      </c>
      <c r="I173" s="19"/>
    </row>
    <row r="174" ht="15.75" hidden="1" customHeight="1">
      <c r="B174" s="17" t="s">
        <v>341</v>
      </c>
      <c r="C174" s="17" t="s">
        <v>185</v>
      </c>
      <c r="D174" s="17" t="s">
        <v>24</v>
      </c>
      <c r="E174" s="17" t="s">
        <v>18</v>
      </c>
      <c r="F174" s="17" t="s">
        <v>19</v>
      </c>
      <c r="G174" s="17">
        <v>321.0</v>
      </c>
      <c r="H174" s="17">
        <v>64.2</v>
      </c>
      <c r="I174" s="17"/>
    </row>
    <row r="175" ht="15.75" hidden="1" customHeight="1">
      <c r="B175" s="19" t="s">
        <v>342</v>
      </c>
      <c r="C175" s="19" t="s">
        <v>281</v>
      </c>
      <c r="D175" s="19" t="s">
        <v>17</v>
      </c>
      <c r="E175" s="19" t="s">
        <v>30</v>
      </c>
      <c r="F175" s="19" t="s">
        <v>47</v>
      </c>
      <c r="G175" s="19">
        <v>343.0</v>
      </c>
      <c r="H175" s="19">
        <v>68.6</v>
      </c>
      <c r="I175" s="19"/>
    </row>
    <row r="176" ht="15.75" hidden="1" customHeight="1">
      <c r="B176" s="17" t="s">
        <v>343</v>
      </c>
      <c r="C176" s="17" t="s">
        <v>344</v>
      </c>
      <c r="D176" s="17" t="s">
        <v>17</v>
      </c>
      <c r="E176" s="17" t="s">
        <v>18</v>
      </c>
      <c r="F176" s="17" t="s">
        <v>26</v>
      </c>
      <c r="G176" s="17">
        <v>352.0</v>
      </c>
      <c r="H176" s="17">
        <v>70.4</v>
      </c>
      <c r="I176" s="17"/>
    </row>
    <row r="177" ht="15.75" hidden="1" customHeight="1">
      <c r="B177" s="19" t="s">
        <v>345</v>
      </c>
      <c r="C177" s="19" t="s">
        <v>133</v>
      </c>
      <c r="D177" s="19" t="s">
        <v>24</v>
      </c>
      <c r="E177" s="19" t="s">
        <v>54</v>
      </c>
      <c r="F177" s="19" t="s">
        <v>26</v>
      </c>
      <c r="G177" s="19">
        <v>353.0</v>
      </c>
      <c r="H177" s="19">
        <v>70.6</v>
      </c>
      <c r="I177" s="19"/>
    </row>
    <row r="178" ht="15.75" hidden="1" customHeight="1">
      <c r="B178" s="17" t="s">
        <v>346</v>
      </c>
      <c r="C178" s="17" t="s">
        <v>347</v>
      </c>
      <c r="D178" s="17" t="s">
        <v>17</v>
      </c>
      <c r="E178" s="17" t="s">
        <v>54</v>
      </c>
      <c r="F178" s="17" t="s">
        <v>26</v>
      </c>
      <c r="G178" s="17">
        <v>389.0</v>
      </c>
      <c r="H178" s="18">
        <v>97.8</v>
      </c>
      <c r="I178" s="17"/>
    </row>
    <row r="179" ht="15.75" hidden="1" customHeight="1">
      <c r="B179" s="19" t="s">
        <v>348</v>
      </c>
      <c r="C179" s="19" t="s">
        <v>349</v>
      </c>
      <c r="D179" s="19" t="s">
        <v>24</v>
      </c>
      <c r="E179" s="19" t="s">
        <v>40</v>
      </c>
      <c r="F179" s="19" t="s">
        <v>47</v>
      </c>
      <c r="G179" s="19">
        <v>366.0</v>
      </c>
      <c r="H179" s="19">
        <v>73.2</v>
      </c>
      <c r="I179" s="19"/>
    </row>
    <row r="180" ht="15.75" hidden="1" customHeight="1">
      <c r="B180" s="17" t="s">
        <v>350</v>
      </c>
      <c r="C180" s="17" t="s">
        <v>351</v>
      </c>
      <c r="D180" s="17" t="s">
        <v>17</v>
      </c>
      <c r="E180" s="17" t="s">
        <v>25</v>
      </c>
      <c r="F180" s="17" t="s">
        <v>19</v>
      </c>
      <c r="G180" s="17">
        <v>334.0</v>
      </c>
      <c r="H180" s="17">
        <v>66.8</v>
      </c>
      <c r="I180" s="17"/>
    </row>
    <row r="181" ht="15.75" hidden="1" customHeight="1">
      <c r="B181" s="19" t="s">
        <v>352</v>
      </c>
      <c r="C181" s="19" t="s">
        <v>268</v>
      </c>
      <c r="D181" s="19" t="s">
        <v>24</v>
      </c>
      <c r="E181" s="19" t="s">
        <v>25</v>
      </c>
      <c r="F181" s="19" t="s">
        <v>47</v>
      </c>
      <c r="G181" s="19">
        <v>314.0</v>
      </c>
      <c r="H181" s="19">
        <v>62.8</v>
      </c>
      <c r="I181" s="19"/>
    </row>
    <row r="182" ht="15.75" hidden="1" customHeight="1">
      <c r="B182" s="17" t="s">
        <v>353</v>
      </c>
      <c r="C182" s="17" t="s">
        <v>252</v>
      </c>
      <c r="D182" s="17" t="s">
        <v>17</v>
      </c>
      <c r="E182" s="17" t="s">
        <v>40</v>
      </c>
      <c r="F182" s="17" t="s">
        <v>47</v>
      </c>
      <c r="G182" s="17">
        <v>379.0</v>
      </c>
      <c r="H182" s="17">
        <v>75.8</v>
      </c>
      <c r="I182" s="17"/>
    </row>
    <row r="183" ht="15.75" hidden="1" customHeight="1">
      <c r="B183" s="19" t="s">
        <v>354</v>
      </c>
      <c r="C183" s="19" t="s">
        <v>355</v>
      </c>
      <c r="D183" s="19" t="s">
        <v>24</v>
      </c>
      <c r="E183" s="19" t="s">
        <v>30</v>
      </c>
      <c r="F183" s="19" t="s">
        <v>26</v>
      </c>
      <c r="G183" s="19">
        <v>322.0</v>
      </c>
      <c r="H183" s="19">
        <v>64.4</v>
      </c>
      <c r="I183" s="19"/>
    </row>
    <row r="184" ht="15.75" hidden="1" customHeight="1">
      <c r="B184" s="17" t="s">
        <v>356</v>
      </c>
      <c r="C184" s="17" t="s">
        <v>49</v>
      </c>
      <c r="D184" s="17" t="s">
        <v>24</v>
      </c>
      <c r="E184" s="17" t="s">
        <v>40</v>
      </c>
      <c r="F184" s="17" t="s">
        <v>19</v>
      </c>
      <c r="G184" s="17">
        <v>370.0</v>
      </c>
      <c r="H184" s="17">
        <v>74.0</v>
      </c>
      <c r="I184" s="17"/>
    </row>
    <row r="185" ht="15.75" hidden="1" customHeight="1">
      <c r="B185" s="19" t="s">
        <v>357</v>
      </c>
      <c r="C185" s="19" t="s">
        <v>358</v>
      </c>
      <c r="D185" s="19" t="s">
        <v>17</v>
      </c>
      <c r="E185" s="19" t="s">
        <v>54</v>
      </c>
      <c r="F185" s="19" t="s">
        <v>19</v>
      </c>
      <c r="G185" s="19">
        <v>400.0</v>
      </c>
      <c r="H185" s="19">
        <v>80.0</v>
      </c>
      <c r="I185" s="19"/>
    </row>
    <row r="186" ht="15.75" hidden="1" customHeight="1">
      <c r="B186" s="17" t="s">
        <v>359</v>
      </c>
      <c r="C186" s="17" t="s">
        <v>360</v>
      </c>
      <c r="D186" s="17" t="s">
        <v>17</v>
      </c>
      <c r="E186" s="17" t="s">
        <v>54</v>
      </c>
      <c r="F186" s="17" t="s">
        <v>19</v>
      </c>
      <c r="G186" s="17">
        <v>359.0</v>
      </c>
      <c r="H186" s="17">
        <v>71.8</v>
      </c>
      <c r="I186" s="17"/>
    </row>
    <row r="187" ht="15.75" hidden="1" customHeight="1">
      <c r="B187" s="19" t="s">
        <v>361</v>
      </c>
      <c r="C187" s="19" t="s">
        <v>362</v>
      </c>
      <c r="D187" s="19" t="s">
        <v>17</v>
      </c>
      <c r="E187" s="19" t="s">
        <v>25</v>
      </c>
      <c r="F187" s="19" t="s">
        <v>19</v>
      </c>
      <c r="G187" s="19">
        <v>329.0</v>
      </c>
      <c r="H187" s="19">
        <v>65.8</v>
      </c>
      <c r="I187" s="19"/>
    </row>
    <row r="188" ht="15.75" hidden="1" customHeight="1">
      <c r="B188" s="17" t="s">
        <v>363</v>
      </c>
      <c r="C188" s="17" t="s">
        <v>364</v>
      </c>
      <c r="D188" s="17" t="s">
        <v>24</v>
      </c>
      <c r="E188" s="17" t="s">
        <v>18</v>
      </c>
      <c r="F188" s="17" t="s">
        <v>26</v>
      </c>
      <c r="G188" s="17">
        <v>354.0</v>
      </c>
      <c r="H188" s="17">
        <v>70.8</v>
      </c>
      <c r="I188" s="17"/>
    </row>
    <row r="189" ht="15.75" hidden="1" customHeight="1">
      <c r="B189" s="19" t="s">
        <v>365</v>
      </c>
      <c r="C189" s="19" t="s">
        <v>147</v>
      </c>
      <c r="D189" s="19" t="s">
        <v>17</v>
      </c>
      <c r="E189" s="19" t="s">
        <v>25</v>
      </c>
      <c r="F189" s="19" t="s">
        <v>26</v>
      </c>
      <c r="G189" s="19">
        <v>358.0</v>
      </c>
      <c r="H189" s="19">
        <v>71.6</v>
      </c>
      <c r="I189" s="19"/>
    </row>
    <row r="190" ht="15.75" hidden="1" customHeight="1">
      <c r="B190" s="17" t="s">
        <v>366</v>
      </c>
      <c r="C190" s="17" t="s">
        <v>367</v>
      </c>
      <c r="D190" s="17" t="s">
        <v>17</v>
      </c>
      <c r="E190" s="17" t="s">
        <v>18</v>
      </c>
      <c r="F190" s="17" t="s">
        <v>19</v>
      </c>
      <c r="G190" s="17">
        <v>364.0</v>
      </c>
      <c r="H190" s="17">
        <v>72.8</v>
      </c>
      <c r="I190" s="17"/>
    </row>
    <row r="191" ht="15.75" hidden="1" customHeight="1">
      <c r="B191" s="19" t="s">
        <v>368</v>
      </c>
      <c r="C191" s="19" t="s">
        <v>369</v>
      </c>
      <c r="D191" s="19" t="s">
        <v>17</v>
      </c>
      <c r="E191" s="19" t="s">
        <v>54</v>
      </c>
      <c r="F191" s="19" t="s">
        <v>19</v>
      </c>
      <c r="G191" s="19">
        <v>289.0</v>
      </c>
      <c r="H191" s="19">
        <v>57.8</v>
      </c>
      <c r="I191" s="19"/>
    </row>
    <row r="192" ht="15.75" hidden="1" customHeight="1">
      <c r="B192" s="17" t="s">
        <v>370</v>
      </c>
      <c r="C192" s="17" t="s">
        <v>23</v>
      </c>
      <c r="D192" s="17" t="s">
        <v>24</v>
      </c>
      <c r="E192" s="17" t="s">
        <v>18</v>
      </c>
      <c r="F192" s="17" t="s">
        <v>19</v>
      </c>
      <c r="G192" s="17">
        <v>383.0</v>
      </c>
      <c r="H192" s="17">
        <v>76.6</v>
      </c>
      <c r="I192" s="17"/>
    </row>
    <row r="193" ht="15.75" hidden="1" customHeight="1">
      <c r="B193" s="19" t="s">
        <v>371</v>
      </c>
      <c r="C193" s="19" t="s">
        <v>372</v>
      </c>
      <c r="D193" s="19" t="s">
        <v>17</v>
      </c>
      <c r="E193" s="19" t="s">
        <v>54</v>
      </c>
      <c r="F193" s="19" t="s">
        <v>26</v>
      </c>
      <c r="G193" s="19">
        <v>357.0</v>
      </c>
      <c r="H193" s="19">
        <v>71.4</v>
      </c>
      <c r="I193" s="19"/>
    </row>
    <row r="194" ht="15.75" hidden="1" customHeight="1">
      <c r="B194" s="17" t="s">
        <v>373</v>
      </c>
      <c r="C194" s="17" t="s">
        <v>374</v>
      </c>
      <c r="D194" s="17" t="s">
        <v>24</v>
      </c>
      <c r="E194" s="17" t="s">
        <v>30</v>
      </c>
      <c r="F194" s="17" t="s">
        <v>26</v>
      </c>
      <c r="G194" s="17">
        <v>296.0</v>
      </c>
      <c r="H194" s="17">
        <v>59.2</v>
      </c>
      <c r="I194" s="17"/>
    </row>
    <row r="195" ht="15.75" hidden="1" customHeight="1">
      <c r="B195" s="19" t="s">
        <v>375</v>
      </c>
      <c r="C195" s="19" t="s">
        <v>376</v>
      </c>
      <c r="D195" s="19" t="s">
        <v>24</v>
      </c>
      <c r="E195" s="19" t="s">
        <v>40</v>
      </c>
      <c r="F195" s="19" t="s">
        <v>19</v>
      </c>
      <c r="G195" s="19">
        <v>383.0</v>
      </c>
      <c r="H195" s="19">
        <v>76.6</v>
      </c>
      <c r="I195" s="19"/>
    </row>
    <row r="196" ht="15.75" hidden="1" customHeight="1">
      <c r="B196" s="17" t="s">
        <v>377</v>
      </c>
      <c r="C196" s="17" t="s">
        <v>378</v>
      </c>
      <c r="D196" s="17" t="s">
        <v>17</v>
      </c>
      <c r="E196" s="17" t="s">
        <v>30</v>
      </c>
      <c r="F196" s="17" t="s">
        <v>26</v>
      </c>
      <c r="G196" s="17">
        <v>320.0</v>
      </c>
      <c r="H196" s="17">
        <v>64.0</v>
      </c>
      <c r="I196" s="17"/>
    </row>
    <row r="197" ht="15.75" hidden="1" customHeight="1">
      <c r="B197" s="19" t="s">
        <v>379</v>
      </c>
      <c r="C197" s="19" t="s">
        <v>380</v>
      </c>
      <c r="D197" s="19" t="s">
        <v>24</v>
      </c>
      <c r="E197" s="19" t="s">
        <v>54</v>
      </c>
      <c r="F197" s="19" t="s">
        <v>47</v>
      </c>
      <c r="G197" s="19">
        <v>291.0</v>
      </c>
      <c r="H197" s="19">
        <v>58.2</v>
      </c>
      <c r="I197" s="19"/>
    </row>
    <row r="198" ht="15.75" hidden="1" customHeight="1">
      <c r="B198" s="17" t="s">
        <v>381</v>
      </c>
      <c r="C198" s="17" t="s">
        <v>133</v>
      </c>
      <c r="D198" s="17" t="s">
        <v>17</v>
      </c>
      <c r="E198" s="17" t="s">
        <v>25</v>
      </c>
      <c r="F198" s="17" t="s">
        <v>47</v>
      </c>
      <c r="G198" s="17">
        <v>392.0</v>
      </c>
      <c r="H198" s="17">
        <v>78.4</v>
      </c>
      <c r="I198" s="17"/>
    </row>
    <row r="199" ht="15.75" hidden="1" customHeight="1">
      <c r="B199" s="19" t="s">
        <v>382</v>
      </c>
      <c r="C199" s="19" t="s">
        <v>383</v>
      </c>
      <c r="D199" s="19" t="s">
        <v>24</v>
      </c>
      <c r="E199" s="19" t="s">
        <v>30</v>
      </c>
      <c r="F199" s="19" t="s">
        <v>19</v>
      </c>
      <c r="G199" s="19">
        <v>371.0</v>
      </c>
      <c r="H199" s="19">
        <v>74.2</v>
      </c>
      <c r="I199" s="19"/>
    </row>
    <row r="200" ht="15.75" hidden="1" customHeight="1">
      <c r="B200" s="17" t="s">
        <v>384</v>
      </c>
      <c r="C200" s="17" t="s">
        <v>385</v>
      </c>
      <c r="D200" s="17" t="s">
        <v>17</v>
      </c>
      <c r="E200" s="17" t="s">
        <v>18</v>
      </c>
      <c r="F200" s="17" t="s">
        <v>19</v>
      </c>
      <c r="G200" s="17">
        <v>338.0</v>
      </c>
      <c r="H200" s="17">
        <v>67.6</v>
      </c>
      <c r="I200" s="17"/>
    </row>
    <row r="201" ht="15.75" hidden="1" customHeight="1">
      <c r="B201" s="19" t="s">
        <v>386</v>
      </c>
      <c r="C201" s="19" t="s">
        <v>208</v>
      </c>
      <c r="D201" s="19" t="s">
        <v>24</v>
      </c>
      <c r="E201" s="19" t="s">
        <v>30</v>
      </c>
      <c r="F201" s="19" t="s">
        <v>19</v>
      </c>
      <c r="G201" s="19">
        <v>326.0</v>
      </c>
      <c r="H201" s="19">
        <v>65.2</v>
      </c>
      <c r="I201" s="19"/>
    </row>
    <row r="202" ht="15.75" hidden="1" customHeight="1">
      <c r="B202" s="17" t="s">
        <v>387</v>
      </c>
      <c r="C202" s="17" t="s">
        <v>388</v>
      </c>
      <c r="D202" s="17" t="s">
        <v>17</v>
      </c>
      <c r="E202" s="17" t="s">
        <v>30</v>
      </c>
      <c r="F202" s="17" t="s">
        <v>26</v>
      </c>
      <c r="G202" s="17">
        <v>399.0</v>
      </c>
      <c r="H202" s="17">
        <v>79.8</v>
      </c>
      <c r="I202" s="17"/>
    </row>
    <row r="203" ht="15.75" hidden="1" customHeight="1">
      <c r="B203" s="19" t="s">
        <v>389</v>
      </c>
      <c r="C203" s="19" t="s">
        <v>390</v>
      </c>
      <c r="D203" s="19" t="s">
        <v>24</v>
      </c>
      <c r="E203" s="19" t="s">
        <v>40</v>
      </c>
      <c r="F203" s="19" t="s">
        <v>26</v>
      </c>
      <c r="G203" s="19">
        <v>410.0</v>
      </c>
      <c r="H203" s="19">
        <v>82.0</v>
      </c>
      <c r="I203" s="19"/>
    </row>
    <row r="204" ht="15.75" hidden="1" customHeight="1">
      <c r="B204" s="17" t="s">
        <v>391</v>
      </c>
      <c r="C204" s="17" t="s">
        <v>252</v>
      </c>
      <c r="D204" s="17" t="s">
        <v>17</v>
      </c>
      <c r="E204" s="17" t="s">
        <v>40</v>
      </c>
      <c r="F204" s="17" t="s">
        <v>47</v>
      </c>
      <c r="G204" s="17">
        <v>317.0</v>
      </c>
      <c r="H204" s="17">
        <v>63.4</v>
      </c>
      <c r="I204" s="17"/>
    </row>
    <row r="205" ht="15.75" hidden="1" customHeight="1">
      <c r="B205" s="19" t="s">
        <v>392</v>
      </c>
      <c r="C205" s="19" t="s">
        <v>385</v>
      </c>
      <c r="D205" s="19" t="s">
        <v>24</v>
      </c>
      <c r="E205" s="19" t="s">
        <v>54</v>
      </c>
      <c r="F205" s="19" t="s">
        <v>47</v>
      </c>
      <c r="G205" s="19">
        <v>425.0</v>
      </c>
      <c r="H205" s="19">
        <v>85.0</v>
      </c>
      <c r="I205" s="19"/>
    </row>
    <row r="206" ht="15.75" hidden="1" customHeight="1">
      <c r="B206" s="17" t="s">
        <v>393</v>
      </c>
      <c r="C206" s="17" t="s">
        <v>105</v>
      </c>
      <c r="D206" s="17" t="s">
        <v>17</v>
      </c>
      <c r="E206" s="17" t="s">
        <v>54</v>
      </c>
      <c r="F206" s="17" t="s">
        <v>47</v>
      </c>
      <c r="G206" s="17">
        <v>278.0</v>
      </c>
      <c r="H206" s="17">
        <v>55.6</v>
      </c>
      <c r="I206" s="17"/>
    </row>
    <row r="207" ht="15.75" hidden="1" customHeight="1">
      <c r="B207" s="19" t="s">
        <v>394</v>
      </c>
      <c r="C207" s="19" t="s">
        <v>133</v>
      </c>
      <c r="D207" s="19" t="s">
        <v>17</v>
      </c>
      <c r="E207" s="19" t="s">
        <v>40</v>
      </c>
      <c r="F207" s="19" t="s">
        <v>47</v>
      </c>
      <c r="G207" s="19">
        <v>378.0</v>
      </c>
      <c r="H207" s="19">
        <v>75.6</v>
      </c>
      <c r="I207" s="19"/>
    </row>
    <row r="208" ht="15.75" hidden="1" customHeight="1">
      <c r="B208" s="17" t="s">
        <v>395</v>
      </c>
      <c r="C208" s="17" t="s">
        <v>396</v>
      </c>
      <c r="D208" s="17" t="s">
        <v>17</v>
      </c>
      <c r="E208" s="17" t="s">
        <v>54</v>
      </c>
      <c r="F208" s="17" t="s">
        <v>47</v>
      </c>
      <c r="G208" s="17">
        <v>339.0</v>
      </c>
      <c r="H208" s="17">
        <v>67.8</v>
      </c>
      <c r="I208" s="17"/>
    </row>
    <row r="209" ht="15.75" hidden="1" customHeight="1">
      <c r="B209" s="19" t="s">
        <v>397</v>
      </c>
      <c r="C209" s="19" t="s">
        <v>185</v>
      </c>
      <c r="D209" s="19" t="s">
        <v>17</v>
      </c>
      <c r="E209" s="19" t="s">
        <v>18</v>
      </c>
      <c r="F209" s="19" t="s">
        <v>26</v>
      </c>
      <c r="G209" s="19">
        <v>372.0</v>
      </c>
      <c r="H209" s="19">
        <v>74.4</v>
      </c>
      <c r="I209" s="19"/>
    </row>
    <row r="210" ht="15.75" hidden="1" customHeight="1">
      <c r="B210" s="17" t="s">
        <v>398</v>
      </c>
      <c r="C210" s="17" t="s">
        <v>399</v>
      </c>
      <c r="D210" s="17" t="s">
        <v>17</v>
      </c>
      <c r="E210" s="17" t="s">
        <v>54</v>
      </c>
      <c r="F210" s="17" t="s">
        <v>26</v>
      </c>
      <c r="G210" s="17">
        <v>393.0</v>
      </c>
      <c r="H210" s="17">
        <v>78.6</v>
      </c>
      <c r="I210" s="17"/>
    </row>
    <row r="211" ht="15.75" hidden="1" customHeight="1">
      <c r="B211" s="19" t="s">
        <v>400</v>
      </c>
      <c r="C211" s="19" t="s">
        <v>239</v>
      </c>
      <c r="D211" s="19" t="s">
        <v>24</v>
      </c>
      <c r="E211" s="19" t="s">
        <v>54</v>
      </c>
      <c r="F211" s="19" t="s">
        <v>26</v>
      </c>
      <c r="G211" s="19">
        <v>334.0</v>
      </c>
      <c r="H211" s="19">
        <v>66.8</v>
      </c>
      <c r="I211" s="19"/>
    </row>
    <row r="212" ht="15.75" hidden="1" customHeight="1">
      <c r="B212" s="17" t="s">
        <v>401</v>
      </c>
      <c r="C212" s="17" t="s">
        <v>402</v>
      </c>
      <c r="D212" s="17" t="s">
        <v>24</v>
      </c>
      <c r="E212" s="17" t="s">
        <v>54</v>
      </c>
      <c r="F212" s="17" t="s">
        <v>19</v>
      </c>
      <c r="G212" s="17">
        <v>347.0</v>
      </c>
      <c r="H212" s="17">
        <v>69.4</v>
      </c>
      <c r="I212" s="17"/>
    </row>
    <row r="213" ht="15.75" hidden="1" customHeight="1">
      <c r="B213" s="19" t="s">
        <v>403</v>
      </c>
      <c r="C213" s="19" t="s">
        <v>404</v>
      </c>
      <c r="D213" s="19" t="s">
        <v>24</v>
      </c>
      <c r="E213" s="19" t="s">
        <v>25</v>
      </c>
      <c r="F213" s="19" t="s">
        <v>26</v>
      </c>
      <c r="G213" s="19">
        <v>379.0</v>
      </c>
      <c r="H213" s="19">
        <v>75.8</v>
      </c>
      <c r="I213" s="19"/>
    </row>
    <row r="214" ht="15.75" hidden="1" customHeight="1">
      <c r="B214" s="17" t="s">
        <v>405</v>
      </c>
      <c r="C214" s="17" t="s">
        <v>93</v>
      </c>
      <c r="D214" s="17" t="s">
        <v>17</v>
      </c>
      <c r="E214" s="17" t="s">
        <v>40</v>
      </c>
      <c r="F214" s="17" t="s">
        <v>47</v>
      </c>
      <c r="G214" s="17">
        <v>361.0</v>
      </c>
      <c r="H214" s="17">
        <v>72.2</v>
      </c>
      <c r="I214" s="17"/>
    </row>
    <row r="215" ht="15.75" hidden="1" customHeight="1">
      <c r="B215" s="19" t="s">
        <v>406</v>
      </c>
      <c r="C215" s="19" t="s">
        <v>191</v>
      </c>
      <c r="D215" s="19" t="s">
        <v>24</v>
      </c>
      <c r="E215" s="19" t="s">
        <v>18</v>
      </c>
      <c r="F215" s="19" t="s">
        <v>26</v>
      </c>
      <c r="G215" s="19">
        <v>301.0</v>
      </c>
      <c r="H215" s="19">
        <v>60.2</v>
      </c>
      <c r="I215" s="19"/>
    </row>
    <row r="216" ht="15.75" hidden="1" customHeight="1">
      <c r="B216" s="17" t="s">
        <v>407</v>
      </c>
      <c r="C216" s="17" t="s">
        <v>408</v>
      </c>
      <c r="D216" s="17" t="s">
        <v>17</v>
      </c>
      <c r="E216" s="17" t="s">
        <v>18</v>
      </c>
      <c r="F216" s="17" t="s">
        <v>26</v>
      </c>
      <c r="G216" s="17">
        <v>291.0</v>
      </c>
      <c r="H216" s="17">
        <v>58.2</v>
      </c>
      <c r="I216" s="17"/>
    </row>
    <row r="217" ht="15.75" hidden="1" customHeight="1">
      <c r="B217" s="19" t="s">
        <v>409</v>
      </c>
      <c r="C217" s="19" t="s">
        <v>378</v>
      </c>
      <c r="D217" s="19" t="s">
        <v>24</v>
      </c>
      <c r="E217" s="19" t="s">
        <v>18</v>
      </c>
      <c r="F217" s="19" t="s">
        <v>47</v>
      </c>
      <c r="G217" s="19">
        <v>384.0</v>
      </c>
      <c r="H217" s="19">
        <v>76.8</v>
      </c>
      <c r="I217" s="19"/>
    </row>
    <row r="218" ht="15.75" hidden="1" customHeight="1">
      <c r="B218" s="17" t="s">
        <v>410</v>
      </c>
      <c r="C218" s="17" t="s">
        <v>51</v>
      </c>
      <c r="D218" s="17" t="s">
        <v>17</v>
      </c>
      <c r="E218" s="17" t="s">
        <v>18</v>
      </c>
      <c r="F218" s="17" t="s">
        <v>47</v>
      </c>
      <c r="G218" s="17">
        <v>306.0</v>
      </c>
      <c r="H218" s="17">
        <v>61.2</v>
      </c>
      <c r="I218" s="17"/>
    </row>
    <row r="219" ht="15.75" hidden="1" customHeight="1">
      <c r="B219" s="19" t="s">
        <v>411</v>
      </c>
      <c r="C219" s="19" t="s">
        <v>333</v>
      </c>
      <c r="D219" s="19" t="s">
        <v>17</v>
      </c>
      <c r="E219" s="19" t="s">
        <v>54</v>
      </c>
      <c r="F219" s="19" t="s">
        <v>47</v>
      </c>
      <c r="G219" s="19">
        <v>313.0</v>
      </c>
      <c r="H219" s="19">
        <v>62.6</v>
      </c>
      <c r="I219" s="19"/>
    </row>
    <row r="220" ht="15.75" hidden="1" customHeight="1">
      <c r="B220" s="17" t="s">
        <v>412</v>
      </c>
      <c r="C220" s="17" t="s">
        <v>399</v>
      </c>
      <c r="D220" s="17" t="s">
        <v>24</v>
      </c>
      <c r="E220" s="17" t="s">
        <v>40</v>
      </c>
      <c r="F220" s="17" t="s">
        <v>19</v>
      </c>
      <c r="G220" s="17">
        <v>355.0</v>
      </c>
      <c r="H220" s="17">
        <v>71.0</v>
      </c>
      <c r="I220" s="17"/>
    </row>
    <row r="221" ht="15.75" hidden="1" customHeight="1">
      <c r="B221" s="19" t="s">
        <v>413</v>
      </c>
      <c r="C221" s="19" t="s">
        <v>117</v>
      </c>
      <c r="D221" s="19" t="s">
        <v>24</v>
      </c>
      <c r="E221" s="19" t="s">
        <v>40</v>
      </c>
      <c r="F221" s="19" t="s">
        <v>26</v>
      </c>
      <c r="G221" s="19">
        <v>348.0</v>
      </c>
      <c r="H221" s="19">
        <v>69.6</v>
      </c>
      <c r="I221" s="19"/>
    </row>
    <row r="222" ht="15.75" hidden="1" customHeight="1">
      <c r="B222" s="17" t="s">
        <v>414</v>
      </c>
      <c r="C222" s="17" t="s">
        <v>268</v>
      </c>
      <c r="D222" s="17" t="s">
        <v>17</v>
      </c>
      <c r="E222" s="17" t="s">
        <v>54</v>
      </c>
      <c r="F222" s="17" t="s">
        <v>19</v>
      </c>
      <c r="G222" s="17">
        <v>334.0</v>
      </c>
      <c r="H222" s="17">
        <v>66.8</v>
      </c>
      <c r="I222" s="17"/>
    </row>
    <row r="223" ht="15.75" hidden="1" customHeight="1">
      <c r="B223" s="19" t="s">
        <v>415</v>
      </c>
      <c r="C223" s="19" t="s">
        <v>121</v>
      </c>
      <c r="D223" s="19" t="s">
        <v>17</v>
      </c>
      <c r="E223" s="19" t="s">
        <v>25</v>
      </c>
      <c r="F223" s="19" t="s">
        <v>26</v>
      </c>
      <c r="G223" s="19">
        <v>332.0</v>
      </c>
      <c r="H223" s="19">
        <v>66.4</v>
      </c>
      <c r="I223" s="19"/>
    </row>
    <row r="224" ht="15.75" hidden="1" customHeight="1">
      <c r="B224" s="17" t="s">
        <v>416</v>
      </c>
      <c r="C224" s="17" t="s">
        <v>417</v>
      </c>
      <c r="D224" s="17" t="s">
        <v>24</v>
      </c>
      <c r="E224" s="17" t="s">
        <v>30</v>
      </c>
      <c r="F224" s="17" t="s">
        <v>19</v>
      </c>
      <c r="G224" s="17">
        <v>326.0</v>
      </c>
      <c r="H224" s="17">
        <v>65.2</v>
      </c>
      <c r="I224" s="17"/>
    </row>
    <row r="225" ht="15.75" hidden="1" customHeight="1">
      <c r="B225" s="19" t="s">
        <v>418</v>
      </c>
      <c r="C225" s="19" t="s">
        <v>419</v>
      </c>
      <c r="D225" s="19" t="s">
        <v>17</v>
      </c>
      <c r="E225" s="19" t="s">
        <v>25</v>
      </c>
      <c r="F225" s="19" t="s">
        <v>19</v>
      </c>
      <c r="G225" s="19">
        <v>398.0</v>
      </c>
      <c r="H225" s="19">
        <v>79.6</v>
      </c>
      <c r="I225" s="19"/>
    </row>
    <row r="226" ht="15.75" hidden="1" customHeight="1">
      <c r="B226" s="17" t="s">
        <v>420</v>
      </c>
      <c r="C226" s="17" t="s">
        <v>204</v>
      </c>
      <c r="D226" s="17" t="s">
        <v>17</v>
      </c>
      <c r="E226" s="17" t="s">
        <v>54</v>
      </c>
      <c r="F226" s="17" t="s">
        <v>47</v>
      </c>
      <c r="G226" s="17">
        <v>298.0</v>
      </c>
      <c r="H226" s="17">
        <v>59.6</v>
      </c>
      <c r="I226" s="17"/>
    </row>
    <row r="227" ht="15.75" hidden="1" customHeight="1">
      <c r="B227" s="19" t="s">
        <v>421</v>
      </c>
      <c r="C227" s="19" t="s">
        <v>422</v>
      </c>
      <c r="D227" s="19" t="s">
        <v>17</v>
      </c>
      <c r="E227" s="19" t="s">
        <v>40</v>
      </c>
      <c r="F227" s="19" t="s">
        <v>26</v>
      </c>
      <c r="G227" s="19">
        <v>362.0</v>
      </c>
      <c r="H227" s="19">
        <v>72.4</v>
      </c>
      <c r="I227" s="19"/>
    </row>
    <row r="228" ht="15.75" hidden="1" customHeight="1">
      <c r="B228" s="17" t="s">
        <v>423</v>
      </c>
      <c r="C228" s="17" t="s">
        <v>424</v>
      </c>
      <c r="D228" s="17" t="s">
        <v>17</v>
      </c>
      <c r="E228" s="17" t="s">
        <v>18</v>
      </c>
      <c r="F228" s="17" t="s">
        <v>19</v>
      </c>
      <c r="G228" s="17">
        <v>402.0</v>
      </c>
      <c r="H228" s="17">
        <v>80.4</v>
      </c>
      <c r="I228" s="17"/>
    </row>
    <row r="229" ht="15.75" hidden="1" customHeight="1">
      <c r="B229" s="19" t="s">
        <v>425</v>
      </c>
      <c r="C229" s="19" t="s">
        <v>127</v>
      </c>
      <c r="D229" s="19" t="s">
        <v>24</v>
      </c>
      <c r="E229" s="19" t="s">
        <v>40</v>
      </c>
      <c r="F229" s="19" t="s">
        <v>47</v>
      </c>
      <c r="G229" s="19">
        <v>355.0</v>
      </c>
      <c r="H229" s="19">
        <v>71.0</v>
      </c>
      <c r="I229" s="19"/>
    </row>
    <row r="230" ht="15.75" hidden="1" customHeight="1">
      <c r="B230" s="17" t="s">
        <v>426</v>
      </c>
      <c r="C230" s="17" t="s">
        <v>427</v>
      </c>
      <c r="D230" s="17" t="s">
        <v>17</v>
      </c>
      <c r="E230" s="17" t="s">
        <v>25</v>
      </c>
      <c r="F230" s="17" t="s">
        <v>26</v>
      </c>
      <c r="G230" s="17">
        <v>344.0</v>
      </c>
      <c r="H230" s="17">
        <v>68.8</v>
      </c>
      <c r="I230" s="17"/>
    </row>
    <row r="231" ht="15.75" hidden="1" customHeight="1">
      <c r="B231" s="19" t="s">
        <v>428</v>
      </c>
      <c r="C231" s="19" t="s">
        <v>429</v>
      </c>
      <c r="D231" s="19" t="s">
        <v>24</v>
      </c>
      <c r="E231" s="19" t="s">
        <v>40</v>
      </c>
      <c r="F231" s="19" t="s">
        <v>47</v>
      </c>
      <c r="G231" s="19">
        <v>358.0</v>
      </c>
      <c r="H231" s="19">
        <v>71.6</v>
      </c>
      <c r="I231" s="19"/>
    </row>
    <row r="232" ht="15.75" hidden="1" customHeight="1">
      <c r="B232" s="17" t="s">
        <v>430</v>
      </c>
      <c r="C232" s="17" t="s">
        <v>103</v>
      </c>
      <c r="D232" s="17" t="s">
        <v>24</v>
      </c>
      <c r="E232" s="17" t="s">
        <v>30</v>
      </c>
      <c r="F232" s="17" t="s">
        <v>19</v>
      </c>
      <c r="G232" s="17">
        <v>388.0</v>
      </c>
      <c r="H232" s="17">
        <v>77.6</v>
      </c>
      <c r="I232" s="17"/>
    </row>
    <row r="233" ht="15.75" hidden="1" customHeight="1">
      <c r="B233" s="19" t="s">
        <v>431</v>
      </c>
      <c r="C233" s="19" t="s">
        <v>16</v>
      </c>
      <c r="D233" s="19" t="s">
        <v>17</v>
      </c>
      <c r="E233" s="19" t="s">
        <v>25</v>
      </c>
      <c r="F233" s="19" t="s">
        <v>47</v>
      </c>
      <c r="G233" s="19">
        <v>437.0</v>
      </c>
      <c r="H233" s="19">
        <v>87.4</v>
      </c>
      <c r="I233" s="19"/>
    </row>
    <row r="234" ht="15.75" hidden="1" customHeight="1">
      <c r="B234" s="17" t="s">
        <v>432</v>
      </c>
      <c r="C234" s="17" t="s">
        <v>149</v>
      </c>
      <c r="D234" s="17" t="s">
        <v>17</v>
      </c>
      <c r="E234" s="17" t="s">
        <v>25</v>
      </c>
      <c r="F234" s="17" t="s">
        <v>19</v>
      </c>
      <c r="G234" s="17">
        <v>326.0</v>
      </c>
      <c r="H234" s="17">
        <v>65.2</v>
      </c>
      <c r="I234" s="17"/>
    </row>
    <row r="235" ht="15.75" hidden="1" customHeight="1">
      <c r="B235" s="19" t="s">
        <v>433</v>
      </c>
      <c r="C235" s="19" t="s">
        <v>434</v>
      </c>
      <c r="D235" s="19" t="s">
        <v>24</v>
      </c>
      <c r="E235" s="19" t="s">
        <v>25</v>
      </c>
      <c r="F235" s="19" t="s">
        <v>47</v>
      </c>
      <c r="G235" s="19">
        <v>329.0</v>
      </c>
      <c r="H235" s="19">
        <v>65.8</v>
      </c>
      <c r="I235" s="19"/>
    </row>
    <row r="236" ht="15.75" hidden="1" customHeight="1">
      <c r="B236" s="17" t="s">
        <v>435</v>
      </c>
      <c r="C236" s="17" t="s">
        <v>436</v>
      </c>
      <c r="D236" s="17" t="s">
        <v>17</v>
      </c>
      <c r="E236" s="17" t="s">
        <v>25</v>
      </c>
      <c r="F236" s="17" t="s">
        <v>19</v>
      </c>
      <c r="G236" s="17">
        <v>300.0</v>
      </c>
      <c r="H236" s="17">
        <v>60.0</v>
      </c>
      <c r="I236" s="17"/>
    </row>
    <row r="237" ht="15.75" hidden="1" customHeight="1">
      <c r="B237" s="19" t="s">
        <v>437</v>
      </c>
      <c r="C237" s="19" t="s">
        <v>344</v>
      </c>
      <c r="D237" s="19" t="s">
        <v>24</v>
      </c>
      <c r="E237" s="19" t="s">
        <v>40</v>
      </c>
      <c r="F237" s="19" t="s">
        <v>47</v>
      </c>
      <c r="G237" s="19">
        <v>363.0</v>
      </c>
      <c r="H237" s="19">
        <v>72.6</v>
      </c>
      <c r="I237" s="19"/>
    </row>
    <row r="238" ht="15.75" hidden="1" customHeight="1">
      <c r="B238" s="17" t="s">
        <v>438</v>
      </c>
      <c r="C238" s="17" t="s">
        <v>388</v>
      </c>
      <c r="D238" s="17" t="s">
        <v>24</v>
      </c>
      <c r="E238" s="17" t="s">
        <v>25</v>
      </c>
      <c r="F238" s="17" t="s">
        <v>47</v>
      </c>
      <c r="G238" s="17">
        <v>342.0</v>
      </c>
      <c r="H238" s="17">
        <v>68.4</v>
      </c>
      <c r="I238" s="17"/>
    </row>
    <row r="239" ht="15.75" hidden="1" customHeight="1">
      <c r="B239" s="19" t="s">
        <v>439</v>
      </c>
      <c r="C239" s="19" t="s">
        <v>440</v>
      </c>
      <c r="D239" s="19" t="s">
        <v>24</v>
      </c>
      <c r="E239" s="19" t="s">
        <v>18</v>
      </c>
      <c r="F239" s="19" t="s">
        <v>47</v>
      </c>
      <c r="G239" s="19">
        <v>308.0</v>
      </c>
      <c r="H239" s="19">
        <v>61.6</v>
      </c>
      <c r="I239" s="19"/>
    </row>
    <row r="240" ht="15.75" hidden="1" customHeight="1">
      <c r="B240" s="17" t="s">
        <v>441</v>
      </c>
      <c r="C240" s="17" t="s">
        <v>442</v>
      </c>
      <c r="D240" s="17" t="s">
        <v>24</v>
      </c>
      <c r="E240" s="17" t="s">
        <v>30</v>
      </c>
      <c r="F240" s="17" t="s">
        <v>19</v>
      </c>
      <c r="G240" s="17">
        <v>343.0</v>
      </c>
      <c r="H240" s="17">
        <v>68.6</v>
      </c>
      <c r="I240" s="17"/>
    </row>
    <row r="241" ht="15.75" hidden="1" customHeight="1">
      <c r="B241" s="19" t="s">
        <v>443</v>
      </c>
      <c r="C241" s="19" t="s">
        <v>193</v>
      </c>
      <c r="D241" s="19" t="s">
        <v>17</v>
      </c>
      <c r="E241" s="19" t="s">
        <v>25</v>
      </c>
      <c r="F241" s="19" t="s">
        <v>26</v>
      </c>
      <c r="G241" s="19">
        <v>363.0</v>
      </c>
      <c r="H241" s="19">
        <v>72.6</v>
      </c>
      <c r="I241" s="19"/>
    </row>
    <row r="242" ht="15.75" hidden="1" customHeight="1">
      <c r="B242" s="17" t="s">
        <v>444</v>
      </c>
      <c r="C242" s="17" t="s">
        <v>324</v>
      </c>
      <c r="D242" s="17" t="s">
        <v>17</v>
      </c>
      <c r="E242" s="17" t="s">
        <v>30</v>
      </c>
      <c r="F242" s="17" t="s">
        <v>47</v>
      </c>
      <c r="G242" s="17">
        <v>396.0</v>
      </c>
      <c r="H242" s="17">
        <v>79.2</v>
      </c>
      <c r="I242" s="17"/>
    </row>
    <row r="243" ht="15.75" hidden="1" customHeight="1">
      <c r="B243" s="19" t="s">
        <v>445</v>
      </c>
      <c r="C243" s="19" t="s">
        <v>295</v>
      </c>
      <c r="D243" s="19" t="s">
        <v>17</v>
      </c>
      <c r="E243" s="19" t="s">
        <v>54</v>
      </c>
      <c r="F243" s="19" t="s">
        <v>47</v>
      </c>
      <c r="G243" s="19">
        <v>373.0</v>
      </c>
      <c r="H243" s="19">
        <v>74.6</v>
      </c>
      <c r="I243" s="19"/>
    </row>
    <row r="244" ht="15.75" hidden="1" customHeight="1">
      <c r="B244" s="17" t="s">
        <v>446</v>
      </c>
      <c r="C244" s="17" t="s">
        <v>447</v>
      </c>
      <c r="D244" s="17" t="s">
        <v>17</v>
      </c>
      <c r="E244" s="17" t="s">
        <v>30</v>
      </c>
      <c r="F244" s="17" t="s">
        <v>47</v>
      </c>
      <c r="G244" s="17">
        <v>377.0</v>
      </c>
      <c r="H244" s="17">
        <v>75.4</v>
      </c>
      <c r="I244" s="17"/>
    </row>
    <row r="245" ht="15.75" hidden="1" customHeight="1">
      <c r="B245" s="19" t="s">
        <v>448</v>
      </c>
      <c r="C245" s="19" t="s">
        <v>64</v>
      </c>
      <c r="D245" s="19" t="s">
        <v>17</v>
      </c>
      <c r="E245" s="19" t="s">
        <v>40</v>
      </c>
      <c r="F245" s="19" t="s">
        <v>19</v>
      </c>
      <c r="G245" s="19">
        <v>270.0</v>
      </c>
      <c r="H245" s="19">
        <v>54.0</v>
      </c>
      <c r="I245" s="19"/>
    </row>
    <row r="246" ht="15.75" hidden="1" customHeight="1">
      <c r="B246" s="17" t="s">
        <v>449</v>
      </c>
      <c r="C246" s="17" t="s">
        <v>450</v>
      </c>
      <c r="D246" s="17" t="s">
        <v>24</v>
      </c>
      <c r="E246" s="17" t="s">
        <v>18</v>
      </c>
      <c r="F246" s="17" t="s">
        <v>26</v>
      </c>
      <c r="G246" s="17">
        <v>346.0</v>
      </c>
      <c r="H246" s="17">
        <v>69.2</v>
      </c>
      <c r="I246" s="17"/>
    </row>
    <row r="247" ht="15.75" hidden="1" customHeight="1">
      <c r="B247" s="19" t="s">
        <v>451</v>
      </c>
      <c r="C247" s="19" t="s">
        <v>149</v>
      </c>
      <c r="D247" s="19" t="s">
        <v>24</v>
      </c>
      <c r="E247" s="19" t="s">
        <v>25</v>
      </c>
      <c r="F247" s="19" t="s">
        <v>47</v>
      </c>
      <c r="G247" s="19">
        <v>344.0</v>
      </c>
      <c r="H247" s="19">
        <v>68.8</v>
      </c>
      <c r="I247" s="19"/>
    </row>
    <row r="248" ht="15.75" hidden="1" customHeight="1">
      <c r="B248" s="17" t="s">
        <v>452</v>
      </c>
      <c r="C248" s="17" t="s">
        <v>105</v>
      </c>
      <c r="D248" s="17" t="s">
        <v>17</v>
      </c>
      <c r="E248" s="17" t="s">
        <v>30</v>
      </c>
      <c r="F248" s="17" t="s">
        <v>26</v>
      </c>
      <c r="G248" s="17">
        <v>373.0</v>
      </c>
      <c r="H248" s="17">
        <v>74.6</v>
      </c>
      <c r="I248" s="17"/>
    </row>
    <row r="249" ht="15.75" hidden="1" customHeight="1">
      <c r="B249" s="19" t="s">
        <v>453</v>
      </c>
      <c r="C249" s="19" t="s">
        <v>43</v>
      </c>
      <c r="D249" s="19" t="s">
        <v>24</v>
      </c>
      <c r="E249" s="19" t="s">
        <v>54</v>
      </c>
      <c r="F249" s="19" t="s">
        <v>26</v>
      </c>
      <c r="G249" s="19">
        <v>330.0</v>
      </c>
      <c r="H249" s="19">
        <v>66.0</v>
      </c>
      <c r="I249" s="19"/>
    </row>
    <row r="250" ht="15.75" hidden="1" customHeight="1">
      <c r="B250" s="17" t="s">
        <v>454</v>
      </c>
      <c r="C250" s="17" t="s">
        <v>455</v>
      </c>
      <c r="D250" s="17" t="s">
        <v>24</v>
      </c>
      <c r="E250" s="17" t="s">
        <v>54</v>
      </c>
      <c r="F250" s="17" t="s">
        <v>26</v>
      </c>
      <c r="G250" s="17">
        <v>327.0</v>
      </c>
      <c r="H250" s="17">
        <v>65.4</v>
      </c>
      <c r="I250" s="17"/>
    </row>
    <row r="251" ht="15.75" hidden="1" customHeight="1">
      <c r="B251" s="19" t="s">
        <v>456</v>
      </c>
      <c r="C251" s="19" t="s">
        <v>115</v>
      </c>
      <c r="D251" s="19" t="s">
        <v>17</v>
      </c>
      <c r="E251" s="19" t="s">
        <v>54</v>
      </c>
      <c r="F251" s="19" t="s">
        <v>19</v>
      </c>
      <c r="G251" s="19">
        <v>388.0</v>
      </c>
      <c r="H251" s="19">
        <v>77.6</v>
      </c>
      <c r="I251" s="19"/>
    </row>
    <row r="252" ht="15.75" hidden="1" customHeight="1">
      <c r="B252" s="17" t="s">
        <v>457</v>
      </c>
      <c r="C252" s="17" t="s">
        <v>320</v>
      </c>
      <c r="D252" s="17" t="s">
        <v>17</v>
      </c>
      <c r="E252" s="17" t="s">
        <v>18</v>
      </c>
      <c r="F252" s="17" t="s">
        <v>47</v>
      </c>
      <c r="G252" s="17">
        <v>398.0</v>
      </c>
      <c r="H252" s="17">
        <v>79.6</v>
      </c>
      <c r="I252" s="17"/>
    </row>
    <row r="253" ht="15.75" hidden="1" customHeight="1">
      <c r="B253" s="19" t="s">
        <v>458</v>
      </c>
      <c r="C253" s="19" t="s">
        <v>459</v>
      </c>
      <c r="D253" s="19" t="s">
        <v>24</v>
      </c>
      <c r="E253" s="19" t="s">
        <v>30</v>
      </c>
      <c r="F253" s="19" t="s">
        <v>47</v>
      </c>
      <c r="G253" s="19">
        <v>359.0</v>
      </c>
      <c r="H253" s="19">
        <v>71.8</v>
      </c>
      <c r="I253" s="19"/>
    </row>
    <row r="254" ht="15.75" hidden="1" customHeight="1">
      <c r="B254" s="17" t="s">
        <v>460</v>
      </c>
      <c r="C254" s="17" t="s">
        <v>461</v>
      </c>
      <c r="D254" s="17" t="s">
        <v>17</v>
      </c>
      <c r="E254" s="17" t="s">
        <v>18</v>
      </c>
      <c r="F254" s="17" t="s">
        <v>26</v>
      </c>
      <c r="G254" s="17">
        <v>395.0</v>
      </c>
      <c r="H254" s="17">
        <v>79.0</v>
      </c>
      <c r="I254" s="17"/>
    </row>
    <row r="255" ht="15.75" hidden="1" customHeight="1">
      <c r="B255" s="19" t="s">
        <v>462</v>
      </c>
      <c r="C255" s="19" t="s">
        <v>463</v>
      </c>
      <c r="D255" s="19" t="s">
        <v>17</v>
      </c>
      <c r="E255" s="19" t="s">
        <v>18</v>
      </c>
      <c r="F255" s="19" t="s">
        <v>26</v>
      </c>
      <c r="G255" s="19">
        <v>374.0</v>
      </c>
      <c r="H255" s="19">
        <v>74.8</v>
      </c>
      <c r="I255" s="19"/>
    </row>
    <row r="256" ht="15.75" hidden="1" customHeight="1">
      <c r="B256" s="17" t="s">
        <v>464</v>
      </c>
      <c r="C256" s="17" t="s">
        <v>374</v>
      </c>
      <c r="D256" s="17" t="s">
        <v>24</v>
      </c>
      <c r="E256" s="17" t="s">
        <v>30</v>
      </c>
      <c r="F256" s="17" t="s">
        <v>47</v>
      </c>
      <c r="G256" s="17">
        <v>325.0</v>
      </c>
      <c r="H256" s="17">
        <v>65.0</v>
      </c>
      <c r="I256" s="17"/>
    </row>
    <row r="257" ht="15.75" hidden="1" customHeight="1">
      <c r="B257" s="19" t="s">
        <v>465</v>
      </c>
      <c r="C257" s="19" t="s">
        <v>313</v>
      </c>
      <c r="D257" s="19" t="s">
        <v>24</v>
      </c>
      <c r="E257" s="19" t="s">
        <v>40</v>
      </c>
      <c r="F257" s="19" t="s">
        <v>19</v>
      </c>
      <c r="G257" s="19">
        <v>305.0</v>
      </c>
      <c r="H257" s="19">
        <v>61.0</v>
      </c>
      <c r="I257" s="19"/>
    </row>
    <row r="258" ht="15.75" hidden="1" customHeight="1">
      <c r="B258" s="17" t="s">
        <v>466</v>
      </c>
      <c r="C258" s="17" t="s">
        <v>467</v>
      </c>
      <c r="D258" s="17" t="s">
        <v>24</v>
      </c>
      <c r="E258" s="17" t="s">
        <v>54</v>
      </c>
      <c r="F258" s="17" t="s">
        <v>26</v>
      </c>
      <c r="G258" s="17">
        <v>361.0</v>
      </c>
      <c r="H258" s="17">
        <v>72.2</v>
      </c>
      <c r="I258" s="17"/>
    </row>
    <row r="259" ht="15.75" hidden="1" customHeight="1">
      <c r="B259" s="19" t="s">
        <v>468</v>
      </c>
      <c r="C259" s="19" t="s">
        <v>244</v>
      </c>
      <c r="D259" s="19" t="s">
        <v>24</v>
      </c>
      <c r="E259" s="19" t="s">
        <v>40</v>
      </c>
      <c r="F259" s="19" t="s">
        <v>26</v>
      </c>
      <c r="G259" s="19">
        <v>342.0</v>
      </c>
      <c r="H259" s="19">
        <v>68.4</v>
      </c>
      <c r="I259" s="19"/>
    </row>
    <row r="260" ht="15.75" hidden="1" customHeight="1">
      <c r="B260" s="17" t="s">
        <v>469</v>
      </c>
      <c r="C260" s="17" t="s">
        <v>299</v>
      </c>
      <c r="D260" s="17" t="s">
        <v>17</v>
      </c>
      <c r="E260" s="17" t="s">
        <v>54</v>
      </c>
      <c r="F260" s="17" t="s">
        <v>26</v>
      </c>
      <c r="G260" s="17">
        <v>361.0</v>
      </c>
      <c r="H260" s="17">
        <v>72.2</v>
      </c>
      <c r="I260" s="17"/>
    </row>
    <row r="261" ht="15.75" hidden="1" customHeight="1">
      <c r="B261" s="19" t="s">
        <v>470</v>
      </c>
      <c r="C261" s="19" t="s">
        <v>471</v>
      </c>
      <c r="D261" s="19" t="s">
        <v>17</v>
      </c>
      <c r="E261" s="19" t="s">
        <v>40</v>
      </c>
      <c r="F261" s="19" t="s">
        <v>47</v>
      </c>
      <c r="G261" s="19">
        <v>342.0</v>
      </c>
      <c r="H261" s="19">
        <v>68.4</v>
      </c>
      <c r="I261" s="19"/>
    </row>
    <row r="262" ht="15.75" hidden="1" customHeight="1">
      <c r="B262" s="17" t="s">
        <v>472</v>
      </c>
      <c r="C262" s="17" t="s">
        <v>390</v>
      </c>
      <c r="D262" s="17" t="s">
        <v>24</v>
      </c>
      <c r="E262" s="17" t="s">
        <v>30</v>
      </c>
      <c r="F262" s="17" t="s">
        <v>26</v>
      </c>
      <c r="G262" s="17">
        <v>307.0</v>
      </c>
      <c r="H262" s="17">
        <v>61.4</v>
      </c>
      <c r="I262" s="17"/>
    </row>
    <row r="263" ht="15.75" hidden="1" customHeight="1">
      <c r="B263" s="19" t="s">
        <v>473</v>
      </c>
      <c r="C263" s="19" t="s">
        <v>89</v>
      </c>
      <c r="D263" s="19" t="s">
        <v>17</v>
      </c>
      <c r="E263" s="19" t="s">
        <v>54</v>
      </c>
      <c r="F263" s="19" t="s">
        <v>47</v>
      </c>
      <c r="G263" s="19">
        <v>371.0</v>
      </c>
      <c r="H263" s="19">
        <v>74.2</v>
      </c>
      <c r="I263" s="19"/>
    </row>
    <row r="264" ht="15.75" hidden="1" customHeight="1">
      <c r="B264" s="17" t="s">
        <v>474</v>
      </c>
      <c r="C264" s="17" t="s">
        <v>475</v>
      </c>
      <c r="D264" s="17" t="s">
        <v>17</v>
      </c>
      <c r="E264" s="17" t="s">
        <v>54</v>
      </c>
      <c r="F264" s="17" t="s">
        <v>47</v>
      </c>
      <c r="G264" s="17">
        <v>338.0</v>
      </c>
      <c r="H264" s="17">
        <v>67.6</v>
      </c>
      <c r="I264" s="17"/>
    </row>
    <row r="265" ht="15.75" hidden="1" customHeight="1">
      <c r="B265" s="19" t="s">
        <v>476</v>
      </c>
      <c r="C265" s="19" t="s">
        <v>107</v>
      </c>
      <c r="D265" s="19" t="s">
        <v>17</v>
      </c>
      <c r="E265" s="19" t="s">
        <v>25</v>
      </c>
      <c r="F265" s="19" t="s">
        <v>26</v>
      </c>
      <c r="G265" s="19">
        <v>384.0</v>
      </c>
      <c r="H265" s="19">
        <v>76.8</v>
      </c>
      <c r="I265" s="19"/>
    </row>
    <row r="266" ht="15.75" hidden="1" customHeight="1">
      <c r="B266" s="17" t="s">
        <v>477</v>
      </c>
      <c r="C266" s="17" t="s">
        <v>351</v>
      </c>
      <c r="D266" s="17" t="s">
        <v>17</v>
      </c>
      <c r="E266" s="17" t="s">
        <v>25</v>
      </c>
      <c r="F266" s="17" t="s">
        <v>26</v>
      </c>
      <c r="G266" s="17">
        <v>404.0</v>
      </c>
      <c r="H266" s="17">
        <v>80.8</v>
      </c>
      <c r="I266" s="17"/>
    </row>
    <row r="267" ht="15.75" hidden="1" customHeight="1">
      <c r="B267" s="19" t="s">
        <v>478</v>
      </c>
      <c r="C267" s="19" t="s">
        <v>324</v>
      </c>
      <c r="D267" s="19" t="s">
        <v>17</v>
      </c>
      <c r="E267" s="19" t="s">
        <v>40</v>
      </c>
      <c r="F267" s="19" t="s">
        <v>19</v>
      </c>
      <c r="G267" s="19">
        <v>359.0</v>
      </c>
      <c r="H267" s="19">
        <v>71.8</v>
      </c>
      <c r="I267" s="19"/>
    </row>
    <row r="268" ht="15.75" hidden="1" customHeight="1">
      <c r="B268" s="17" t="s">
        <v>479</v>
      </c>
      <c r="C268" s="17" t="s">
        <v>326</v>
      </c>
      <c r="D268" s="17" t="s">
        <v>17</v>
      </c>
      <c r="E268" s="17" t="s">
        <v>25</v>
      </c>
      <c r="F268" s="17" t="s">
        <v>47</v>
      </c>
      <c r="G268" s="17">
        <v>312.0</v>
      </c>
      <c r="H268" s="17">
        <v>62.4</v>
      </c>
      <c r="I268" s="17"/>
    </row>
    <row r="269" ht="15.75" hidden="1" customHeight="1">
      <c r="B269" s="19" t="s">
        <v>480</v>
      </c>
      <c r="C269" s="19" t="s">
        <v>408</v>
      </c>
      <c r="D269" s="19" t="s">
        <v>24</v>
      </c>
      <c r="E269" s="19" t="s">
        <v>25</v>
      </c>
      <c r="F269" s="19" t="s">
        <v>26</v>
      </c>
      <c r="G269" s="19">
        <v>339.0</v>
      </c>
      <c r="H269" s="19">
        <v>67.8</v>
      </c>
      <c r="I269" s="19"/>
    </row>
    <row r="270" ht="15.75" hidden="1" customHeight="1">
      <c r="B270" s="17" t="s">
        <v>481</v>
      </c>
      <c r="C270" s="17" t="s">
        <v>333</v>
      </c>
      <c r="D270" s="17" t="s">
        <v>24</v>
      </c>
      <c r="E270" s="17" t="s">
        <v>18</v>
      </c>
      <c r="F270" s="17" t="s">
        <v>47</v>
      </c>
      <c r="G270" s="17">
        <v>401.0</v>
      </c>
      <c r="H270" s="17">
        <v>80.2</v>
      </c>
      <c r="I270" s="17"/>
    </row>
    <row r="271" ht="15.75" hidden="1" customHeight="1">
      <c r="B271" s="19" t="s">
        <v>482</v>
      </c>
      <c r="C271" s="19" t="s">
        <v>131</v>
      </c>
      <c r="D271" s="19" t="s">
        <v>24</v>
      </c>
      <c r="E271" s="19" t="s">
        <v>25</v>
      </c>
      <c r="F271" s="19" t="s">
        <v>19</v>
      </c>
      <c r="G271" s="19">
        <v>299.0</v>
      </c>
      <c r="H271" s="19">
        <v>59.8</v>
      </c>
      <c r="I271" s="19"/>
    </row>
    <row r="272" ht="15.75" hidden="1" customHeight="1">
      <c r="B272" s="17" t="s">
        <v>483</v>
      </c>
      <c r="C272" s="17" t="s">
        <v>107</v>
      </c>
      <c r="D272" s="17" t="s">
        <v>17</v>
      </c>
      <c r="E272" s="17" t="s">
        <v>18</v>
      </c>
      <c r="F272" s="17" t="s">
        <v>47</v>
      </c>
      <c r="G272" s="17">
        <v>393.0</v>
      </c>
      <c r="H272" s="17">
        <v>78.6</v>
      </c>
      <c r="I272" s="17"/>
    </row>
    <row r="273" ht="15.75" hidden="1" customHeight="1">
      <c r="B273" s="19" t="s">
        <v>484</v>
      </c>
      <c r="C273" s="19" t="s">
        <v>252</v>
      </c>
      <c r="D273" s="19" t="s">
        <v>17</v>
      </c>
      <c r="E273" s="19" t="s">
        <v>18</v>
      </c>
      <c r="F273" s="19" t="s">
        <v>19</v>
      </c>
      <c r="G273" s="19">
        <v>324.0</v>
      </c>
      <c r="H273" s="19">
        <v>64.8</v>
      </c>
      <c r="I273" s="19"/>
    </row>
    <row r="274" ht="15.75" hidden="1" customHeight="1">
      <c r="B274" s="17" t="s">
        <v>485</v>
      </c>
      <c r="C274" s="17" t="s">
        <v>388</v>
      </c>
      <c r="D274" s="17" t="s">
        <v>24</v>
      </c>
      <c r="E274" s="17" t="s">
        <v>18</v>
      </c>
      <c r="F274" s="17" t="s">
        <v>26</v>
      </c>
      <c r="G274" s="17">
        <v>368.0</v>
      </c>
      <c r="H274" s="17">
        <v>73.6</v>
      </c>
      <c r="I274" s="17"/>
    </row>
    <row r="275" ht="15.75" hidden="1" customHeight="1">
      <c r="B275" s="19" t="s">
        <v>486</v>
      </c>
      <c r="C275" s="19" t="s">
        <v>137</v>
      </c>
      <c r="D275" s="19" t="s">
        <v>17</v>
      </c>
      <c r="E275" s="19" t="s">
        <v>54</v>
      </c>
      <c r="F275" s="19" t="s">
        <v>47</v>
      </c>
      <c r="G275" s="19">
        <v>345.0</v>
      </c>
      <c r="H275" s="19">
        <v>69.0</v>
      </c>
      <c r="I275" s="19"/>
    </row>
    <row r="276" ht="15.75" hidden="1" customHeight="1">
      <c r="B276" s="17" t="s">
        <v>487</v>
      </c>
      <c r="C276" s="17" t="s">
        <v>488</v>
      </c>
      <c r="D276" s="17" t="s">
        <v>24</v>
      </c>
      <c r="E276" s="17" t="s">
        <v>54</v>
      </c>
      <c r="F276" s="17" t="s">
        <v>47</v>
      </c>
      <c r="G276" s="17">
        <v>361.0</v>
      </c>
      <c r="H276" s="17">
        <v>72.2</v>
      </c>
      <c r="I276" s="17"/>
    </row>
    <row r="277" ht="15.75" hidden="1" customHeight="1">
      <c r="B277" s="19" t="s">
        <v>489</v>
      </c>
      <c r="C277" s="19" t="s">
        <v>109</v>
      </c>
      <c r="D277" s="19" t="s">
        <v>17</v>
      </c>
      <c r="E277" s="19" t="s">
        <v>30</v>
      </c>
      <c r="F277" s="19" t="s">
        <v>47</v>
      </c>
      <c r="G277" s="19">
        <v>328.0</v>
      </c>
      <c r="H277" s="19">
        <v>65.6</v>
      </c>
      <c r="I277" s="19"/>
    </row>
    <row r="278" ht="15.75" hidden="1" customHeight="1">
      <c r="B278" s="17" t="s">
        <v>490</v>
      </c>
      <c r="C278" s="17" t="s">
        <v>147</v>
      </c>
      <c r="D278" s="17" t="s">
        <v>24</v>
      </c>
      <c r="E278" s="17" t="s">
        <v>30</v>
      </c>
      <c r="F278" s="17" t="s">
        <v>19</v>
      </c>
      <c r="G278" s="17">
        <v>320.0</v>
      </c>
      <c r="H278" s="17">
        <v>64.0</v>
      </c>
      <c r="I278" s="17"/>
    </row>
    <row r="279" ht="15.75" hidden="1" customHeight="1">
      <c r="B279" s="19" t="s">
        <v>491</v>
      </c>
      <c r="C279" s="19" t="s">
        <v>318</v>
      </c>
      <c r="D279" s="19" t="s">
        <v>17</v>
      </c>
      <c r="E279" s="19" t="s">
        <v>25</v>
      </c>
      <c r="F279" s="19" t="s">
        <v>19</v>
      </c>
      <c r="G279" s="19">
        <v>382.0</v>
      </c>
      <c r="H279" s="19">
        <v>76.4</v>
      </c>
      <c r="I279" s="19"/>
    </row>
    <row r="280" ht="15.75" hidden="1" customHeight="1">
      <c r="B280" s="17" t="s">
        <v>492</v>
      </c>
      <c r="C280" s="17" t="s">
        <v>29</v>
      </c>
      <c r="D280" s="17" t="s">
        <v>24</v>
      </c>
      <c r="E280" s="17" t="s">
        <v>30</v>
      </c>
      <c r="F280" s="17" t="s">
        <v>26</v>
      </c>
      <c r="G280" s="17">
        <v>384.0</v>
      </c>
      <c r="H280" s="17">
        <v>76.8</v>
      </c>
      <c r="I280" s="17"/>
    </row>
    <row r="281" ht="15.75" hidden="1" customHeight="1">
      <c r="B281" s="19" t="s">
        <v>493</v>
      </c>
      <c r="C281" s="19" t="s">
        <v>402</v>
      </c>
      <c r="D281" s="19" t="s">
        <v>24</v>
      </c>
      <c r="E281" s="19" t="s">
        <v>54</v>
      </c>
      <c r="F281" s="19" t="s">
        <v>47</v>
      </c>
      <c r="G281" s="19">
        <v>309.0</v>
      </c>
      <c r="H281" s="19">
        <v>61.8</v>
      </c>
      <c r="I281" s="19"/>
    </row>
    <row r="282" ht="15.75" hidden="1" customHeight="1">
      <c r="B282" s="17" t="s">
        <v>494</v>
      </c>
      <c r="C282" s="17" t="s">
        <v>495</v>
      </c>
      <c r="D282" s="17" t="s">
        <v>24</v>
      </c>
      <c r="E282" s="17" t="s">
        <v>40</v>
      </c>
      <c r="F282" s="17" t="s">
        <v>19</v>
      </c>
      <c r="G282" s="17">
        <v>338.0</v>
      </c>
      <c r="H282" s="17">
        <v>67.6</v>
      </c>
      <c r="I282" s="17"/>
    </row>
    <row r="283" ht="15.75" hidden="1" customHeight="1">
      <c r="B283" s="19" t="s">
        <v>496</v>
      </c>
      <c r="C283" s="19" t="s">
        <v>497</v>
      </c>
      <c r="D283" s="19" t="s">
        <v>17</v>
      </c>
      <c r="E283" s="19" t="s">
        <v>18</v>
      </c>
      <c r="F283" s="19" t="s">
        <v>19</v>
      </c>
      <c r="G283" s="19">
        <v>350.0</v>
      </c>
      <c r="H283" s="19">
        <v>70.0</v>
      </c>
      <c r="I283" s="19"/>
    </row>
    <row r="284" ht="15.75" hidden="1" customHeight="1">
      <c r="B284" s="17" t="s">
        <v>498</v>
      </c>
      <c r="C284" s="17" t="s">
        <v>427</v>
      </c>
      <c r="D284" s="17" t="s">
        <v>24</v>
      </c>
      <c r="E284" s="17" t="s">
        <v>40</v>
      </c>
      <c r="F284" s="17" t="s">
        <v>47</v>
      </c>
      <c r="G284" s="17">
        <v>291.0</v>
      </c>
      <c r="H284" s="17">
        <v>58.2</v>
      </c>
      <c r="I284" s="17"/>
    </row>
    <row r="285" ht="15.75" hidden="1" customHeight="1">
      <c r="B285" s="19" t="s">
        <v>499</v>
      </c>
      <c r="C285" s="19" t="s">
        <v>93</v>
      </c>
      <c r="D285" s="19" t="s">
        <v>24</v>
      </c>
      <c r="E285" s="19" t="s">
        <v>30</v>
      </c>
      <c r="F285" s="19" t="s">
        <v>47</v>
      </c>
      <c r="G285" s="19">
        <v>370.0</v>
      </c>
      <c r="H285" s="19">
        <v>74.0</v>
      </c>
      <c r="I285" s="19"/>
    </row>
    <row r="286" ht="15.75" hidden="1" customHeight="1">
      <c r="B286" s="17" t="s">
        <v>500</v>
      </c>
      <c r="C286" s="17" t="s">
        <v>233</v>
      </c>
      <c r="D286" s="17" t="s">
        <v>24</v>
      </c>
      <c r="E286" s="17" t="s">
        <v>30</v>
      </c>
      <c r="F286" s="17" t="s">
        <v>19</v>
      </c>
      <c r="G286" s="17">
        <v>324.0</v>
      </c>
      <c r="H286" s="17">
        <v>64.8</v>
      </c>
      <c r="I286" s="17"/>
    </row>
    <row r="287" ht="15.75" hidden="1" customHeight="1">
      <c r="B287" s="19" t="s">
        <v>501</v>
      </c>
      <c r="C287" s="19" t="s">
        <v>502</v>
      </c>
      <c r="D287" s="19" t="s">
        <v>24</v>
      </c>
      <c r="E287" s="19" t="s">
        <v>54</v>
      </c>
      <c r="F287" s="19" t="s">
        <v>26</v>
      </c>
      <c r="G287" s="19">
        <v>355.0</v>
      </c>
      <c r="H287" s="19">
        <v>71.0</v>
      </c>
      <c r="I287" s="19"/>
    </row>
    <row r="288" ht="15.75" hidden="1" customHeight="1">
      <c r="B288" s="17" t="s">
        <v>503</v>
      </c>
      <c r="C288" s="17" t="s">
        <v>261</v>
      </c>
      <c r="D288" s="17" t="s">
        <v>17</v>
      </c>
      <c r="E288" s="17" t="s">
        <v>18</v>
      </c>
      <c r="F288" s="17" t="s">
        <v>19</v>
      </c>
      <c r="G288" s="17">
        <v>360.0</v>
      </c>
      <c r="H288" s="17">
        <v>72.0</v>
      </c>
      <c r="I288" s="17"/>
    </row>
    <row r="289" ht="15.75" hidden="1" customHeight="1">
      <c r="B289" s="19" t="s">
        <v>504</v>
      </c>
      <c r="C289" s="19" t="s">
        <v>505</v>
      </c>
      <c r="D289" s="19" t="s">
        <v>17</v>
      </c>
      <c r="E289" s="19" t="s">
        <v>30</v>
      </c>
      <c r="F289" s="19" t="s">
        <v>47</v>
      </c>
      <c r="G289" s="19">
        <v>405.0</v>
      </c>
      <c r="H289" s="19">
        <v>81.0</v>
      </c>
      <c r="I289" s="19"/>
    </row>
    <row r="290" ht="15.75" hidden="1" customHeight="1">
      <c r="B290" s="17" t="s">
        <v>506</v>
      </c>
      <c r="C290" s="17" t="s">
        <v>64</v>
      </c>
      <c r="D290" s="17" t="s">
        <v>17</v>
      </c>
      <c r="E290" s="17" t="s">
        <v>40</v>
      </c>
      <c r="F290" s="17" t="s">
        <v>26</v>
      </c>
      <c r="G290" s="17">
        <v>345.0</v>
      </c>
      <c r="H290" s="17">
        <v>69.0</v>
      </c>
      <c r="I290" s="17"/>
    </row>
    <row r="291" ht="15.75" hidden="1" customHeight="1">
      <c r="B291" s="19" t="s">
        <v>507</v>
      </c>
      <c r="C291" s="19" t="s">
        <v>508</v>
      </c>
      <c r="D291" s="19" t="s">
        <v>17</v>
      </c>
      <c r="E291" s="19" t="s">
        <v>25</v>
      </c>
      <c r="F291" s="19" t="s">
        <v>26</v>
      </c>
      <c r="G291" s="19">
        <v>363.0</v>
      </c>
      <c r="H291" s="19">
        <v>72.6</v>
      </c>
      <c r="I291" s="19"/>
    </row>
    <row r="292" ht="15.75" hidden="1" customHeight="1">
      <c r="B292" s="17" t="s">
        <v>509</v>
      </c>
      <c r="C292" s="17" t="s">
        <v>279</v>
      </c>
      <c r="D292" s="17" t="s">
        <v>17</v>
      </c>
      <c r="E292" s="17" t="s">
        <v>54</v>
      </c>
      <c r="F292" s="17" t="s">
        <v>26</v>
      </c>
      <c r="G292" s="17">
        <v>302.0</v>
      </c>
      <c r="H292" s="17">
        <v>60.4</v>
      </c>
      <c r="I292" s="17"/>
    </row>
    <row r="293" ht="15.75" hidden="1" customHeight="1">
      <c r="B293" s="19" t="s">
        <v>510</v>
      </c>
      <c r="C293" s="19" t="s">
        <v>181</v>
      </c>
      <c r="D293" s="19" t="s">
        <v>24</v>
      </c>
      <c r="E293" s="19" t="s">
        <v>54</v>
      </c>
      <c r="F293" s="19" t="s">
        <v>19</v>
      </c>
      <c r="G293" s="19">
        <v>282.0</v>
      </c>
      <c r="H293" s="19">
        <v>56.4</v>
      </c>
      <c r="I293" s="19"/>
    </row>
    <row r="294" ht="15.75" hidden="1" customHeight="1">
      <c r="B294" s="17" t="s">
        <v>511</v>
      </c>
      <c r="C294" s="17" t="s">
        <v>447</v>
      </c>
      <c r="D294" s="17" t="s">
        <v>24</v>
      </c>
      <c r="E294" s="17" t="s">
        <v>54</v>
      </c>
      <c r="F294" s="17" t="s">
        <v>26</v>
      </c>
      <c r="G294" s="17">
        <v>314.0</v>
      </c>
      <c r="H294" s="17">
        <v>62.8</v>
      </c>
      <c r="I294" s="17"/>
    </row>
    <row r="295" ht="15.75" hidden="1" customHeight="1">
      <c r="B295" s="19" t="s">
        <v>512</v>
      </c>
      <c r="C295" s="19" t="s">
        <v>163</v>
      </c>
      <c r="D295" s="19" t="s">
        <v>24</v>
      </c>
      <c r="E295" s="19" t="s">
        <v>18</v>
      </c>
      <c r="F295" s="19" t="s">
        <v>19</v>
      </c>
      <c r="G295" s="19">
        <v>333.0</v>
      </c>
      <c r="H295" s="19">
        <v>66.6</v>
      </c>
      <c r="I295" s="19"/>
    </row>
    <row r="296" ht="15.75" hidden="1" customHeight="1">
      <c r="B296" s="17" t="s">
        <v>513</v>
      </c>
      <c r="C296" s="17" t="s">
        <v>514</v>
      </c>
      <c r="D296" s="17" t="s">
        <v>24</v>
      </c>
      <c r="E296" s="17" t="s">
        <v>25</v>
      </c>
      <c r="F296" s="17" t="s">
        <v>47</v>
      </c>
      <c r="G296" s="17">
        <v>393.0</v>
      </c>
      <c r="H296" s="17">
        <v>78.6</v>
      </c>
      <c r="I296" s="17"/>
    </row>
    <row r="297" ht="15.75" hidden="1" customHeight="1">
      <c r="B297" s="19" t="s">
        <v>515</v>
      </c>
      <c r="C297" s="19" t="s">
        <v>516</v>
      </c>
      <c r="D297" s="19" t="s">
        <v>24</v>
      </c>
      <c r="E297" s="19" t="s">
        <v>54</v>
      </c>
      <c r="F297" s="19" t="s">
        <v>26</v>
      </c>
      <c r="G297" s="19">
        <v>356.0</v>
      </c>
      <c r="H297" s="19">
        <v>71.2</v>
      </c>
      <c r="I297" s="19"/>
    </row>
    <row r="298" ht="15.75" hidden="1" customHeight="1">
      <c r="B298" s="17" t="s">
        <v>517</v>
      </c>
      <c r="C298" s="17" t="s">
        <v>518</v>
      </c>
      <c r="D298" s="17" t="s">
        <v>24</v>
      </c>
      <c r="E298" s="17" t="s">
        <v>54</v>
      </c>
      <c r="F298" s="17" t="s">
        <v>47</v>
      </c>
      <c r="G298" s="17">
        <v>395.0</v>
      </c>
      <c r="H298" s="17">
        <v>79.0</v>
      </c>
      <c r="I298" s="17"/>
    </row>
    <row r="299" ht="15.75" hidden="1" customHeight="1">
      <c r="B299" s="19" t="s">
        <v>519</v>
      </c>
      <c r="C299" s="19" t="s">
        <v>246</v>
      </c>
      <c r="D299" s="19" t="s">
        <v>24</v>
      </c>
      <c r="E299" s="19" t="s">
        <v>30</v>
      </c>
      <c r="F299" s="19" t="s">
        <v>47</v>
      </c>
      <c r="G299" s="19">
        <v>335.0</v>
      </c>
      <c r="H299" s="19">
        <v>67.0</v>
      </c>
      <c r="I299" s="19"/>
    </row>
    <row r="300" ht="15.75" hidden="1" customHeight="1">
      <c r="B300" s="17" t="s">
        <v>520</v>
      </c>
      <c r="C300" s="17" t="s">
        <v>521</v>
      </c>
      <c r="D300" s="17" t="s">
        <v>24</v>
      </c>
      <c r="E300" s="17" t="s">
        <v>25</v>
      </c>
      <c r="F300" s="17" t="s">
        <v>47</v>
      </c>
      <c r="G300" s="17">
        <v>336.0</v>
      </c>
      <c r="H300" s="17">
        <v>67.2</v>
      </c>
      <c r="I300" s="17"/>
    </row>
    <row r="301" ht="15.75" hidden="1" customHeight="1">
      <c r="B301" s="19" t="s">
        <v>522</v>
      </c>
      <c r="C301" s="19" t="s">
        <v>523</v>
      </c>
      <c r="D301" s="19" t="s">
        <v>17</v>
      </c>
      <c r="E301" s="19" t="s">
        <v>18</v>
      </c>
      <c r="F301" s="19" t="s">
        <v>19</v>
      </c>
      <c r="G301" s="19">
        <v>339.0</v>
      </c>
      <c r="H301" s="19">
        <v>67.8</v>
      </c>
      <c r="I301" s="19"/>
    </row>
    <row r="302" ht="15.75" hidden="1" customHeight="1">
      <c r="B302" s="17" t="s">
        <v>524</v>
      </c>
      <c r="C302" s="17" t="s">
        <v>256</v>
      </c>
      <c r="D302" s="17" t="s">
        <v>17</v>
      </c>
      <c r="E302" s="17" t="s">
        <v>25</v>
      </c>
      <c r="F302" s="17" t="s">
        <v>47</v>
      </c>
      <c r="G302" s="17">
        <v>346.0</v>
      </c>
      <c r="H302" s="17">
        <v>69.2</v>
      </c>
      <c r="I302" s="17"/>
    </row>
    <row r="303" ht="15.75" hidden="1" customHeight="1">
      <c r="B303" s="19" t="s">
        <v>525</v>
      </c>
      <c r="C303" s="19" t="s">
        <v>526</v>
      </c>
      <c r="D303" s="19" t="s">
        <v>24</v>
      </c>
      <c r="E303" s="19" t="s">
        <v>18</v>
      </c>
      <c r="F303" s="19" t="s">
        <v>26</v>
      </c>
      <c r="G303" s="19">
        <v>388.0</v>
      </c>
      <c r="H303" s="19">
        <v>77.6</v>
      </c>
      <c r="I303" s="19"/>
    </row>
    <row r="304" ht="15.75" hidden="1" customHeight="1">
      <c r="B304" s="17" t="s">
        <v>527</v>
      </c>
      <c r="C304" s="17" t="s">
        <v>390</v>
      </c>
      <c r="D304" s="17" t="s">
        <v>24</v>
      </c>
      <c r="E304" s="17" t="s">
        <v>30</v>
      </c>
      <c r="F304" s="17" t="s">
        <v>26</v>
      </c>
      <c r="G304" s="17">
        <v>302.0</v>
      </c>
      <c r="H304" s="17">
        <v>60.4</v>
      </c>
      <c r="I304" s="17"/>
    </row>
    <row r="305" ht="15.75" hidden="1" customHeight="1">
      <c r="B305" s="19" t="s">
        <v>528</v>
      </c>
      <c r="C305" s="19" t="s">
        <v>340</v>
      </c>
      <c r="D305" s="19" t="s">
        <v>17</v>
      </c>
      <c r="E305" s="19" t="s">
        <v>18</v>
      </c>
      <c r="F305" s="19" t="s">
        <v>19</v>
      </c>
      <c r="G305" s="19">
        <v>408.0</v>
      </c>
      <c r="H305" s="19">
        <v>81.6</v>
      </c>
      <c r="I305" s="19"/>
    </row>
    <row r="306" ht="15.75" hidden="1" customHeight="1">
      <c r="B306" s="17" t="s">
        <v>529</v>
      </c>
      <c r="C306" s="17" t="s">
        <v>530</v>
      </c>
      <c r="D306" s="17" t="s">
        <v>17</v>
      </c>
      <c r="E306" s="17" t="s">
        <v>40</v>
      </c>
      <c r="F306" s="17" t="s">
        <v>26</v>
      </c>
      <c r="G306" s="17">
        <v>306.0</v>
      </c>
      <c r="H306" s="17">
        <v>61.2</v>
      </c>
      <c r="I306" s="17"/>
    </row>
    <row r="307" ht="15.75" hidden="1" customHeight="1">
      <c r="B307" s="19" t="s">
        <v>531</v>
      </c>
      <c r="C307" s="19" t="s">
        <v>372</v>
      </c>
      <c r="D307" s="19" t="s">
        <v>17</v>
      </c>
      <c r="E307" s="19" t="s">
        <v>30</v>
      </c>
      <c r="F307" s="19" t="s">
        <v>47</v>
      </c>
      <c r="G307" s="19">
        <v>340.0</v>
      </c>
      <c r="H307" s="19">
        <v>68.0</v>
      </c>
      <c r="I307" s="19"/>
    </row>
    <row r="308" ht="15.75" hidden="1" customHeight="1">
      <c r="B308" s="17" t="s">
        <v>532</v>
      </c>
      <c r="C308" s="17" t="s">
        <v>156</v>
      </c>
      <c r="D308" s="17" t="s">
        <v>17</v>
      </c>
      <c r="E308" s="17" t="s">
        <v>54</v>
      </c>
      <c r="F308" s="17" t="s">
        <v>47</v>
      </c>
      <c r="G308" s="17">
        <v>381.0</v>
      </c>
      <c r="H308" s="17">
        <v>76.2</v>
      </c>
      <c r="I308" s="17"/>
    </row>
    <row r="309" ht="15.75" hidden="1" customHeight="1">
      <c r="B309" s="19" t="s">
        <v>533</v>
      </c>
      <c r="C309" s="19" t="s">
        <v>534</v>
      </c>
      <c r="D309" s="19" t="s">
        <v>24</v>
      </c>
      <c r="E309" s="19" t="s">
        <v>40</v>
      </c>
      <c r="F309" s="19" t="s">
        <v>19</v>
      </c>
      <c r="G309" s="19">
        <v>396.0</v>
      </c>
      <c r="H309" s="19">
        <v>79.2</v>
      </c>
      <c r="I309" s="19"/>
    </row>
    <row r="310" ht="15.75" hidden="1" customHeight="1">
      <c r="B310" s="17" t="s">
        <v>535</v>
      </c>
      <c r="C310" s="17" t="s">
        <v>83</v>
      </c>
      <c r="D310" s="17" t="s">
        <v>17</v>
      </c>
      <c r="E310" s="17" t="s">
        <v>40</v>
      </c>
      <c r="F310" s="17" t="s">
        <v>26</v>
      </c>
      <c r="G310" s="17">
        <v>383.0</v>
      </c>
      <c r="H310" s="17">
        <v>76.6</v>
      </c>
      <c r="I310" s="17"/>
    </row>
    <row r="311" ht="15.75" hidden="1" customHeight="1">
      <c r="B311" s="19" t="s">
        <v>536</v>
      </c>
      <c r="C311" s="19" t="s">
        <v>537</v>
      </c>
      <c r="D311" s="19" t="s">
        <v>24</v>
      </c>
      <c r="E311" s="19" t="s">
        <v>18</v>
      </c>
      <c r="F311" s="19" t="s">
        <v>19</v>
      </c>
      <c r="G311" s="19">
        <v>401.0</v>
      </c>
      <c r="H311" s="19">
        <v>80.2</v>
      </c>
      <c r="I311" s="19"/>
    </row>
    <row r="312" ht="15.75" hidden="1" customHeight="1">
      <c r="B312" s="17" t="s">
        <v>538</v>
      </c>
      <c r="C312" s="17" t="s">
        <v>539</v>
      </c>
      <c r="D312" s="17" t="s">
        <v>17</v>
      </c>
      <c r="E312" s="17" t="s">
        <v>40</v>
      </c>
      <c r="F312" s="17" t="s">
        <v>19</v>
      </c>
      <c r="G312" s="17">
        <v>267.0</v>
      </c>
      <c r="H312" s="17">
        <v>53.4</v>
      </c>
      <c r="I312" s="17"/>
    </row>
    <row r="313" ht="15.75" hidden="1" customHeight="1">
      <c r="B313" s="19" t="s">
        <v>540</v>
      </c>
      <c r="C313" s="19" t="s">
        <v>495</v>
      </c>
      <c r="D313" s="19" t="s">
        <v>17</v>
      </c>
      <c r="E313" s="19" t="s">
        <v>25</v>
      </c>
      <c r="F313" s="19" t="s">
        <v>47</v>
      </c>
      <c r="G313" s="19">
        <v>405.0</v>
      </c>
      <c r="H313" s="19">
        <v>81.0</v>
      </c>
      <c r="I313" s="19"/>
    </row>
    <row r="314" ht="15.75" hidden="1" customHeight="1">
      <c r="B314" s="17" t="s">
        <v>541</v>
      </c>
      <c r="C314" s="17" t="s">
        <v>270</v>
      </c>
      <c r="D314" s="17" t="s">
        <v>17</v>
      </c>
      <c r="E314" s="17" t="s">
        <v>25</v>
      </c>
      <c r="F314" s="17" t="s">
        <v>47</v>
      </c>
      <c r="G314" s="17">
        <v>295.0</v>
      </c>
      <c r="H314" s="17">
        <v>59.0</v>
      </c>
      <c r="I314" s="17"/>
    </row>
    <row r="315" ht="15.75" hidden="1" customHeight="1">
      <c r="B315" s="19" t="s">
        <v>542</v>
      </c>
      <c r="C315" s="19" t="s">
        <v>471</v>
      </c>
      <c r="D315" s="19" t="s">
        <v>17</v>
      </c>
      <c r="E315" s="19" t="s">
        <v>18</v>
      </c>
      <c r="F315" s="19" t="s">
        <v>26</v>
      </c>
      <c r="G315" s="19">
        <v>420.0</v>
      </c>
      <c r="H315" s="19">
        <v>84.0</v>
      </c>
      <c r="I315" s="19"/>
    </row>
    <row r="316" ht="15.75" hidden="1" customHeight="1">
      <c r="B316" s="17" t="s">
        <v>543</v>
      </c>
      <c r="C316" s="17" t="s">
        <v>206</v>
      </c>
      <c r="D316" s="17" t="s">
        <v>17</v>
      </c>
      <c r="E316" s="17" t="s">
        <v>40</v>
      </c>
      <c r="F316" s="17" t="s">
        <v>26</v>
      </c>
      <c r="G316" s="17">
        <v>316.0</v>
      </c>
      <c r="H316" s="17">
        <v>63.2</v>
      </c>
      <c r="I316" s="17"/>
    </row>
    <row r="317" ht="15.75" hidden="1" customHeight="1">
      <c r="B317" s="19" t="s">
        <v>544</v>
      </c>
      <c r="C317" s="19" t="s">
        <v>545</v>
      </c>
      <c r="D317" s="19" t="s">
        <v>17</v>
      </c>
      <c r="E317" s="19" t="s">
        <v>40</v>
      </c>
      <c r="F317" s="19" t="s">
        <v>47</v>
      </c>
      <c r="G317" s="19">
        <v>334.0</v>
      </c>
      <c r="H317" s="19">
        <v>66.8</v>
      </c>
      <c r="I317" s="19"/>
    </row>
    <row r="318" ht="15.75" hidden="1" customHeight="1">
      <c r="B318" s="17" t="s">
        <v>546</v>
      </c>
      <c r="C318" s="17" t="s">
        <v>178</v>
      </c>
      <c r="D318" s="17" t="s">
        <v>24</v>
      </c>
      <c r="E318" s="17" t="s">
        <v>30</v>
      </c>
      <c r="F318" s="17" t="s">
        <v>19</v>
      </c>
      <c r="G318" s="17">
        <v>343.0</v>
      </c>
      <c r="H318" s="17">
        <v>68.6</v>
      </c>
      <c r="I318" s="17"/>
    </row>
    <row r="319" ht="15.75" hidden="1" customHeight="1">
      <c r="B319" s="19" t="s">
        <v>547</v>
      </c>
      <c r="C319" s="19" t="s">
        <v>548</v>
      </c>
      <c r="D319" s="19" t="s">
        <v>17</v>
      </c>
      <c r="E319" s="19" t="s">
        <v>18</v>
      </c>
      <c r="F319" s="19" t="s">
        <v>19</v>
      </c>
      <c r="G319" s="19">
        <v>338.0</v>
      </c>
      <c r="H319" s="19">
        <v>67.6</v>
      </c>
      <c r="I319" s="19"/>
    </row>
    <row r="320" ht="15.75" hidden="1" customHeight="1">
      <c r="B320" s="17" t="s">
        <v>549</v>
      </c>
      <c r="C320" s="17" t="s">
        <v>550</v>
      </c>
      <c r="D320" s="17" t="s">
        <v>17</v>
      </c>
      <c r="E320" s="17" t="s">
        <v>18</v>
      </c>
      <c r="F320" s="17" t="s">
        <v>26</v>
      </c>
      <c r="G320" s="17">
        <v>366.0</v>
      </c>
      <c r="H320" s="17">
        <v>73.2</v>
      </c>
      <c r="I320" s="17"/>
    </row>
    <row r="321" ht="15.75" hidden="1" customHeight="1">
      <c r="B321" s="19" t="s">
        <v>551</v>
      </c>
      <c r="C321" s="19" t="s">
        <v>383</v>
      </c>
      <c r="D321" s="19" t="s">
        <v>24</v>
      </c>
      <c r="E321" s="19" t="s">
        <v>25</v>
      </c>
      <c r="F321" s="19" t="s">
        <v>19</v>
      </c>
      <c r="G321" s="19">
        <v>361.0</v>
      </c>
      <c r="H321" s="19">
        <v>72.2</v>
      </c>
      <c r="I321" s="19"/>
    </row>
    <row r="322" ht="15.75" hidden="1" customHeight="1">
      <c r="B322" s="17" t="s">
        <v>552</v>
      </c>
      <c r="C322" s="17" t="s">
        <v>545</v>
      </c>
      <c r="D322" s="17" t="s">
        <v>24</v>
      </c>
      <c r="E322" s="17" t="s">
        <v>40</v>
      </c>
      <c r="F322" s="17" t="s">
        <v>19</v>
      </c>
      <c r="G322" s="17">
        <v>361.0</v>
      </c>
      <c r="H322" s="17">
        <v>72.2</v>
      </c>
      <c r="I322" s="17"/>
    </row>
    <row r="323" ht="15.75" hidden="1" customHeight="1">
      <c r="B323" s="19" t="s">
        <v>553</v>
      </c>
      <c r="C323" s="19" t="s">
        <v>372</v>
      </c>
      <c r="D323" s="19" t="s">
        <v>17</v>
      </c>
      <c r="E323" s="19" t="s">
        <v>25</v>
      </c>
      <c r="F323" s="19" t="s">
        <v>19</v>
      </c>
      <c r="G323" s="19">
        <v>354.0</v>
      </c>
      <c r="H323" s="19">
        <v>70.8</v>
      </c>
      <c r="I323" s="19"/>
    </row>
    <row r="324" ht="15.75" hidden="1" customHeight="1">
      <c r="B324" s="17" t="s">
        <v>554</v>
      </c>
      <c r="C324" s="17" t="s">
        <v>72</v>
      </c>
      <c r="D324" s="17" t="s">
        <v>17</v>
      </c>
      <c r="E324" s="17" t="s">
        <v>40</v>
      </c>
      <c r="F324" s="17" t="s">
        <v>19</v>
      </c>
      <c r="G324" s="17">
        <v>281.0</v>
      </c>
      <c r="H324" s="17">
        <v>56.2</v>
      </c>
      <c r="I324" s="17"/>
    </row>
    <row r="325" ht="15.75" hidden="1" customHeight="1">
      <c r="B325" s="19" t="s">
        <v>555</v>
      </c>
      <c r="C325" s="19" t="s">
        <v>556</v>
      </c>
      <c r="D325" s="19" t="s">
        <v>24</v>
      </c>
      <c r="E325" s="19" t="s">
        <v>54</v>
      </c>
      <c r="F325" s="19" t="s">
        <v>26</v>
      </c>
      <c r="G325" s="19">
        <v>352.0</v>
      </c>
      <c r="H325" s="19">
        <v>70.4</v>
      </c>
      <c r="I325" s="19"/>
    </row>
    <row r="326" ht="15.75" customHeight="1">
      <c r="A326" s="21"/>
      <c r="B326" s="17" t="s">
        <v>557</v>
      </c>
      <c r="C326" s="17" t="s">
        <v>516</v>
      </c>
      <c r="D326" s="17" t="s">
        <v>17</v>
      </c>
      <c r="E326" s="17" t="s">
        <v>40</v>
      </c>
      <c r="F326" s="17" t="s">
        <v>47</v>
      </c>
      <c r="G326" s="17">
        <v>407.0</v>
      </c>
      <c r="H326" s="17">
        <v>81.4</v>
      </c>
      <c r="I326" s="17"/>
    </row>
    <row r="327" ht="15.75" hidden="1" customHeight="1">
      <c r="B327" s="19" t="s">
        <v>558</v>
      </c>
      <c r="C327" s="19" t="s">
        <v>139</v>
      </c>
      <c r="D327" s="19" t="s">
        <v>24</v>
      </c>
      <c r="E327" s="19" t="s">
        <v>54</v>
      </c>
      <c r="F327" s="19" t="s">
        <v>19</v>
      </c>
      <c r="G327" s="19">
        <v>301.0</v>
      </c>
      <c r="H327" s="19">
        <v>60.2</v>
      </c>
      <c r="I327" s="19"/>
    </row>
    <row r="328" ht="15.75" hidden="1" customHeight="1">
      <c r="B328" s="17" t="s">
        <v>559</v>
      </c>
      <c r="C328" s="17" t="s">
        <v>455</v>
      </c>
      <c r="D328" s="17" t="s">
        <v>24</v>
      </c>
      <c r="E328" s="17" t="s">
        <v>54</v>
      </c>
      <c r="F328" s="17" t="s">
        <v>19</v>
      </c>
      <c r="G328" s="17">
        <v>339.0</v>
      </c>
      <c r="H328" s="17">
        <v>67.8</v>
      </c>
      <c r="I328" s="17"/>
    </row>
    <row r="329" ht="15.75" hidden="1" customHeight="1">
      <c r="B329" s="19" t="s">
        <v>560</v>
      </c>
      <c r="C329" s="19" t="s">
        <v>561</v>
      </c>
      <c r="D329" s="19" t="s">
        <v>24</v>
      </c>
      <c r="E329" s="19" t="s">
        <v>30</v>
      </c>
      <c r="F329" s="19" t="s">
        <v>26</v>
      </c>
      <c r="G329" s="19">
        <v>388.0</v>
      </c>
      <c r="H329" s="19">
        <v>77.6</v>
      </c>
      <c r="I329" s="19"/>
    </row>
    <row r="330" ht="15.75" hidden="1" customHeight="1">
      <c r="B330" s="17" t="s">
        <v>562</v>
      </c>
      <c r="C330" s="17" t="s">
        <v>463</v>
      </c>
      <c r="D330" s="17" t="s">
        <v>17</v>
      </c>
      <c r="E330" s="17" t="s">
        <v>40</v>
      </c>
      <c r="F330" s="17" t="s">
        <v>19</v>
      </c>
      <c r="G330" s="17">
        <v>359.0</v>
      </c>
      <c r="H330" s="17">
        <v>71.8</v>
      </c>
      <c r="I330" s="17"/>
    </row>
    <row r="331" ht="15.75" hidden="1" customHeight="1">
      <c r="B331" s="19" t="s">
        <v>563</v>
      </c>
      <c r="C331" s="19" t="s">
        <v>564</v>
      </c>
      <c r="D331" s="19" t="s">
        <v>17</v>
      </c>
      <c r="E331" s="19" t="s">
        <v>54</v>
      </c>
      <c r="F331" s="19" t="s">
        <v>26</v>
      </c>
      <c r="G331" s="19">
        <v>344.0</v>
      </c>
      <c r="H331" s="19">
        <v>68.8</v>
      </c>
      <c r="I331" s="19"/>
    </row>
    <row r="332" ht="15.75" hidden="1" customHeight="1">
      <c r="B332" s="17" t="s">
        <v>565</v>
      </c>
      <c r="C332" s="17" t="s">
        <v>111</v>
      </c>
      <c r="D332" s="17" t="s">
        <v>17</v>
      </c>
      <c r="E332" s="17" t="s">
        <v>18</v>
      </c>
      <c r="F332" s="17" t="s">
        <v>26</v>
      </c>
      <c r="G332" s="17">
        <v>293.0</v>
      </c>
      <c r="H332" s="17">
        <v>58.6</v>
      </c>
      <c r="I332" s="17"/>
    </row>
    <row r="333" ht="15.75" hidden="1" customHeight="1">
      <c r="B333" s="19" t="s">
        <v>566</v>
      </c>
      <c r="C333" s="19" t="s">
        <v>311</v>
      </c>
      <c r="D333" s="19" t="s">
        <v>24</v>
      </c>
      <c r="E333" s="19" t="s">
        <v>25</v>
      </c>
      <c r="F333" s="19" t="s">
        <v>19</v>
      </c>
      <c r="G333" s="19">
        <v>341.0</v>
      </c>
      <c r="H333" s="19">
        <v>68.2</v>
      </c>
      <c r="I333" s="19"/>
    </row>
    <row r="334" ht="15.75" hidden="1" customHeight="1">
      <c r="B334" s="17" t="s">
        <v>567</v>
      </c>
      <c r="C334" s="17" t="s">
        <v>43</v>
      </c>
      <c r="D334" s="17" t="s">
        <v>17</v>
      </c>
      <c r="E334" s="17" t="s">
        <v>18</v>
      </c>
      <c r="F334" s="17" t="s">
        <v>26</v>
      </c>
      <c r="G334" s="17">
        <v>317.0</v>
      </c>
      <c r="H334" s="17">
        <v>63.4</v>
      </c>
      <c r="I334" s="17"/>
    </row>
    <row r="335" ht="15.75" hidden="1" customHeight="1">
      <c r="B335" s="19" t="s">
        <v>568</v>
      </c>
      <c r="C335" s="19" t="s">
        <v>320</v>
      </c>
      <c r="D335" s="19" t="s">
        <v>24</v>
      </c>
      <c r="E335" s="19" t="s">
        <v>18</v>
      </c>
      <c r="F335" s="19" t="s">
        <v>26</v>
      </c>
      <c r="G335" s="19">
        <v>379.0</v>
      </c>
      <c r="H335" s="19">
        <v>75.8</v>
      </c>
      <c r="I335" s="19"/>
    </row>
    <row r="336" ht="15.75" hidden="1" customHeight="1">
      <c r="B336" s="17" t="s">
        <v>569</v>
      </c>
      <c r="C336" s="17" t="s">
        <v>570</v>
      </c>
      <c r="D336" s="17" t="s">
        <v>17</v>
      </c>
      <c r="E336" s="17" t="s">
        <v>18</v>
      </c>
      <c r="F336" s="17" t="s">
        <v>26</v>
      </c>
      <c r="G336" s="17">
        <v>345.0</v>
      </c>
      <c r="H336" s="17">
        <v>69.0</v>
      </c>
      <c r="I336" s="17"/>
    </row>
    <row r="337" ht="15.75" hidden="1" customHeight="1">
      <c r="B337" s="19" t="s">
        <v>571</v>
      </c>
      <c r="C337" s="19" t="s">
        <v>572</v>
      </c>
      <c r="D337" s="19" t="s">
        <v>17</v>
      </c>
      <c r="E337" s="19" t="s">
        <v>25</v>
      </c>
      <c r="F337" s="19" t="s">
        <v>19</v>
      </c>
      <c r="G337" s="19">
        <v>431.0</v>
      </c>
      <c r="H337" s="19">
        <v>86.2</v>
      </c>
      <c r="I337" s="19"/>
    </row>
    <row r="338" ht="15.75" hidden="1" customHeight="1">
      <c r="B338" s="17" t="s">
        <v>573</v>
      </c>
      <c r="C338" s="17" t="s">
        <v>139</v>
      </c>
      <c r="D338" s="17" t="s">
        <v>17</v>
      </c>
      <c r="E338" s="17" t="s">
        <v>18</v>
      </c>
      <c r="F338" s="17" t="s">
        <v>47</v>
      </c>
      <c r="G338" s="17">
        <v>374.0</v>
      </c>
      <c r="H338" s="17">
        <v>74.8</v>
      </c>
      <c r="I338" s="17"/>
    </row>
    <row r="339" ht="15.75" hidden="1" customHeight="1">
      <c r="B339" s="19" t="s">
        <v>574</v>
      </c>
      <c r="C339" s="19" t="s">
        <v>96</v>
      </c>
      <c r="D339" s="19" t="s">
        <v>24</v>
      </c>
      <c r="E339" s="19" t="s">
        <v>40</v>
      </c>
      <c r="F339" s="19" t="s">
        <v>26</v>
      </c>
      <c r="G339" s="19">
        <v>350.0</v>
      </c>
      <c r="H339" s="19">
        <v>70.0</v>
      </c>
      <c r="I339" s="19"/>
    </row>
    <row r="340" ht="15.75" hidden="1" customHeight="1">
      <c r="B340" s="17" t="s">
        <v>575</v>
      </c>
      <c r="C340" s="17" t="s">
        <v>576</v>
      </c>
      <c r="D340" s="17" t="s">
        <v>17</v>
      </c>
      <c r="E340" s="17" t="s">
        <v>25</v>
      </c>
      <c r="F340" s="17" t="s">
        <v>19</v>
      </c>
      <c r="G340" s="17">
        <v>330.0</v>
      </c>
      <c r="H340" s="17">
        <v>66.0</v>
      </c>
      <c r="I340" s="17"/>
    </row>
    <row r="341" ht="15.75" hidden="1" customHeight="1">
      <c r="B341" s="19" t="s">
        <v>577</v>
      </c>
      <c r="C341" s="19" t="s">
        <v>556</v>
      </c>
      <c r="D341" s="19" t="s">
        <v>17</v>
      </c>
      <c r="E341" s="19" t="s">
        <v>18</v>
      </c>
      <c r="F341" s="19" t="s">
        <v>26</v>
      </c>
      <c r="G341" s="19">
        <v>316.0</v>
      </c>
      <c r="H341" s="19">
        <v>63.2</v>
      </c>
      <c r="I341" s="19"/>
    </row>
    <row r="342" ht="15.75" hidden="1" customHeight="1">
      <c r="B342" s="17" t="s">
        <v>578</v>
      </c>
      <c r="C342" s="17" t="s">
        <v>16</v>
      </c>
      <c r="D342" s="17" t="s">
        <v>24</v>
      </c>
      <c r="E342" s="17" t="s">
        <v>18</v>
      </c>
      <c r="F342" s="17" t="s">
        <v>19</v>
      </c>
      <c r="G342" s="17">
        <v>376.0</v>
      </c>
      <c r="H342" s="17">
        <v>75.2</v>
      </c>
      <c r="I342" s="17"/>
    </row>
    <row r="343" ht="15.75" hidden="1" customHeight="1">
      <c r="B343" s="19" t="s">
        <v>579</v>
      </c>
      <c r="C343" s="19" t="s">
        <v>580</v>
      </c>
      <c r="D343" s="19" t="s">
        <v>17</v>
      </c>
      <c r="E343" s="19" t="s">
        <v>54</v>
      </c>
      <c r="F343" s="19" t="s">
        <v>19</v>
      </c>
      <c r="G343" s="19">
        <v>351.0</v>
      </c>
      <c r="H343" s="19">
        <v>70.2</v>
      </c>
      <c r="I343" s="19"/>
    </row>
    <row r="344" ht="15.75" hidden="1" customHeight="1">
      <c r="B344" s="17" t="s">
        <v>581</v>
      </c>
      <c r="C344" s="17" t="s">
        <v>582</v>
      </c>
      <c r="D344" s="17" t="s">
        <v>17</v>
      </c>
      <c r="E344" s="17" t="s">
        <v>18</v>
      </c>
      <c r="F344" s="17" t="s">
        <v>47</v>
      </c>
      <c r="G344" s="17">
        <v>353.0</v>
      </c>
      <c r="H344" s="17">
        <v>70.6</v>
      </c>
      <c r="I344" s="17"/>
    </row>
    <row r="345" ht="15.75" hidden="1" customHeight="1">
      <c r="B345" s="19" t="s">
        <v>583</v>
      </c>
      <c r="C345" s="19" t="s">
        <v>223</v>
      </c>
      <c r="D345" s="19" t="s">
        <v>17</v>
      </c>
      <c r="E345" s="19" t="s">
        <v>54</v>
      </c>
      <c r="F345" s="19" t="s">
        <v>19</v>
      </c>
      <c r="G345" s="19">
        <v>313.0</v>
      </c>
      <c r="H345" s="19">
        <v>62.6</v>
      </c>
      <c r="I345" s="19"/>
    </row>
    <row r="346" ht="15.75" hidden="1" customHeight="1">
      <c r="B346" s="17" t="s">
        <v>584</v>
      </c>
      <c r="C346" s="17" t="s">
        <v>167</v>
      </c>
      <c r="D346" s="17" t="s">
        <v>17</v>
      </c>
      <c r="E346" s="17" t="s">
        <v>18</v>
      </c>
      <c r="F346" s="17" t="s">
        <v>47</v>
      </c>
      <c r="G346" s="17">
        <v>362.0</v>
      </c>
      <c r="H346" s="17">
        <v>72.4</v>
      </c>
      <c r="I346" s="17"/>
    </row>
    <row r="347" ht="15.75" hidden="1" customHeight="1">
      <c r="B347" s="19" t="s">
        <v>585</v>
      </c>
      <c r="C347" s="19" t="s">
        <v>586</v>
      </c>
      <c r="D347" s="19" t="s">
        <v>17</v>
      </c>
      <c r="E347" s="19" t="s">
        <v>18</v>
      </c>
      <c r="F347" s="19" t="s">
        <v>19</v>
      </c>
      <c r="G347" s="19">
        <v>326.0</v>
      </c>
      <c r="H347" s="19">
        <v>65.2</v>
      </c>
      <c r="I347" s="19"/>
    </row>
    <row r="348" ht="15.75" hidden="1" customHeight="1">
      <c r="B348" s="17" t="s">
        <v>587</v>
      </c>
      <c r="C348" s="17" t="s">
        <v>588</v>
      </c>
      <c r="D348" s="17" t="s">
        <v>24</v>
      </c>
      <c r="E348" s="17" t="s">
        <v>25</v>
      </c>
      <c r="F348" s="17" t="s">
        <v>19</v>
      </c>
      <c r="G348" s="17">
        <v>304.0</v>
      </c>
      <c r="H348" s="17">
        <v>60.8</v>
      </c>
      <c r="I348" s="17"/>
    </row>
    <row r="349" ht="15.75" hidden="1" customHeight="1">
      <c r="B349" s="19" t="s">
        <v>589</v>
      </c>
      <c r="C349" s="19" t="s">
        <v>390</v>
      </c>
      <c r="D349" s="19" t="s">
        <v>17</v>
      </c>
      <c r="E349" s="19" t="s">
        <v>40</v>
      </c>
      <c r="F349" s="19" t="s">
        <v>26</v>
      </c>
      <c r="G349" s="19">
        <v>282.0</v>
      </c>
      <c r="H349" s="19">
        <v>56.4</v>
      </c>
      <c r="I349" s="19"/>
    </row>
    <row r="350" ht="15.75" hidden="1" customHeight="1">
      <c r="B350" s="17" t="s">
        <v>590</v>
      </c>
      <c r="C350" s="17" t="s">
        <v>175</v>
      </c>
      <c r="D350" s="17" t="s">
        <v>17</v>
      </c>
      <c r="E350" s="17" t="s">
        <v>18</v>
      </c>
      <c r="F350" s="17" t="s">
        <v>26</v>
      </c>
      <c r="G350" s="17">
        <v>350.0</v>
      </c>
      <c r="H350" s="17">
        <v>70.0</v>
      </c>
      <c r="I350" s="17"/>
    </row>
    <row r="351" ht="15.75" hidden="1" customHeight="1">
      <c r="B351" s="19" t="s">
        <v>591</v>
      </c>
      <c r="C351" s="19" t="s">
        <v>376</v>
      </c>
      <c r="D351" s="19" t="s">
        <v>24</v>
      </c>
      <c r="E351" s="19" t="s">
        <v>54</v>
      </c>
      <c r="F351" s="19" t="s">
        <v>26</v>
      </c>
      <c r="G351" s="19">
        <v>437.0</v>
      </c>
      <c r="H351" s="19">
        <v>87.4</v>
      </c>
      <c r="I351" s="19"/>
    </row>
    <row r="352" ht="15.75" hidden="1" customHeight="1">
      <c r="B352" s="17" t="s">
        <v>592</v>
      </c>
      <c r="C352" s="17" t="s">
        <v>43</v>
      </c>
      <c r="D352" s="17" t="s">
        <v>17</v>
      </c>
      <c r="E352" s="17" t="s">
        <v>18</v>
      </c>
      <c r="F352" s="17" t="s">
        <v>26</v>
      </c>
      <c r="G352" s="17">
        <v>290.0</v>
      </c>
      <c r="H352" s="17">
        <v>58.0</v>
      </c>
      <c r="I352" s="17"/>
    </row>
    <row r="353" ht="15.75" hidden="1" customHeight="1">
      <c r="B353" s="19" t="s">
        <v>593</v>
      </c>
      <c r="C353" s="19" t="s">
        <v>374</v>
      </c>
      <c r="D353" s="19" t="s">
        <v>17</v>
      </c>
      <c r="E353" s="19" t="s">
        <v>40</v>
      </c>
      <c r="F353" s="19" t="s">
        <v>19</v>
      </c>
      <c r="G353" s="19">
        <v>335.0</v>
      </c>
      <c r="H353" s="19">
        <v>67.0</v>
      </c>
      <c r="I353" s="19"/>
    </row>
    <row r="354" ht="15.75" hidden="1" customHeight="1">
      <c r="B354" s="17" t="s">
        <v>594</v>
      </c>
      <c r="C354" s="17" t="s">
        <v>595</v>
      </c>
      <c r="D354" s="17" t="s">
        <v>24</v>
      </c>
      <c r="E354" s="17" t="s">
        <v>25</v>
      </c>
      <c r="F354" s="17" t="s">
        <v>26</v>
      </c>
      <c r="G354" s="17">
        <v>302.0</v>
      </c>
      <c r="H354" s="17">
        <v>60.4</v>
      </c>
      <c r="I354" s="17"/>
    </row>
    <row r="355" ht="15.75" hidden="1" customHeight="1">
      <c r="B355" s="19" t="s">
        <v>596</v>
      </c>
      <c r="C355" s="19" t="s">
        <v>72</v>
      </c>
      <c r="D355" s="19" t="s">
        <v>17</v>
      </c>
      <c r="E355" s="19" t="s">
        <v>54</v>
      </c>
      <c r="F355" s="19" t="s">
        <v>47</v>
      </c>
      <c r="G355" s="19">
        <v>301.0</v>
      </c>
      <c r="H355" s="19">
        <v>60.2</v>
      </c>
      <c r="I355" s="19"/>
    </row>
    <row r="356" ht="15.75" hidden="1" customHeight="1">
      <c r="B356" s="17" t="s">
        <v>597</v>
      </c>
      <c r="C356" s="17" t="s">
        <v>344</v>
      </c>
      <c r="D356" s="17" t="s">
        <v>24</v>
      </c>
      <c r="E356" s="17" t="s">
        <v>40</v>
      </c>
      <c r="F356" s="17" t="s">
        <v>26</v>
      </c>
      <c r="G356" s="17">
        <v>375.0</v>
      </c>
      <c r="H356" s="17">
        <v>75.0</v>
      </c>
      <c r="I356" s="17"/>
    </row>
    <row r="357" ht="15.75" hidden="1" customHeight="1">
      <c r="B357" s="19" t="s">
        <v>598</v>
      </c>
      <c r="C357" s="19" t="s">
        <v>161</v>
      </c>
      <c r="D357" s="19" t="s">
        <v>17</v>
      </c>
      <c r="E357" s="19" t="s">
        <v>25</v>
      </c>
      <c r="F357" s="19" t="s">
        <v>26</v>
      </c>
      <c r="G357" s="19">
        <v>326.0</v>
      </c>
      <c r="H357" s="19">
        <v>65.2</v>
      </c>
      <c r="I357" s="19"/>
    </row>
    <row r="358" ht="15.75" hidden="1" customHeight="1">
      <c r="B358" s="17" t="s">
        <v>599</v>
      </c>
      <c r="C358" s="17" t="s">
        <v>299</v>
      </c>
      <c r="D358" s="17" t="s">
        <v>17</v>
      </c>
      <c r="E358" s="17" t="s">
        <v>54</v>
      </c>
      <c r="F358" s="17" t="s">
        <v>47</v>
      </c>
      <c r="G358" s="17">
        <v>322.0</v>
      </c>
      <c r="H358" s="17">
        <v>64.4</v>
      </c>
      <c r="I358" s="17"/>
    </row>
    <row r="359" ht="15.75" hidden="1" customHeight="1">
      <c r="B359" s="19" t="s">
        <v>600</v>
      </c>
      <c r="C359" s="19" t="s">
        <v>601</v>
      </c>
      <c r="D359" s="19" t="s">
        <v>24</v>
      </c>
      <c r="E359" s="19" t="s">
        <v>25</v>
      </c>
      <c r="F359" s="19" t="s">
        <v>26</v>
      </c>
      <c r="G359" s="19">
        <v>396.0</v>
      </c>
      <c r="H359" s="19">
        <v>79.2</v>
      </c>
      <c r="I359" s="19"/>
    </row>
    <row r="360" ht="15.75" hidden="1" customHeight="1">
      <c r="B360" s="17" t="s">
        <v>602</v>
      </c>
      <c r="C360" s="17" t="s">
        <v>475</v>
      </c>
      <c r="D360" s="17" t="s">
        <v>24</v>
      </c>
      <c r="E360" s="17" t="s">
        <v>25</v>
      </c>
      <c r="F360" s="17" t="s">
        <v>19</v>
      </c>
      <c r="G360" s="17">
        <v>283.0</v>
      </c>
      <c r="H360" s="17">
        <v>56.6</v>
      </c>
      <c r="I360" s="17"/>
    </row>
    <row r="361" ht="15.75" hidden="1" customHeight="1">
      <c r="B361" s="19" t="s">
        <v>603</v>
      </c>
      <c r="C361" s="19" t="s">
        <v>383</v>
      </c>
      <c r="D361" s="19" t="s">
        <v>17</v>
      </c>
      <c r="E361" s="19" t="s">
        <v>18</v>
      </c>
      <c r="F361" s="19" t="s">
        <v>19</v>
      </c>
      <c r="G361" s="19">
        <v>332.0</v>
      </c>
      <c r="H361" s="19">
        <v>66.4</v>
      </c>
      <c r="I361" s="19"/>
    </row>
    <row r="362" ht="15.75" hidden="1" customHeight="1">
      <c r="B362" s="17" t="s">
        <v>604</v>
      </c>
      <c r="C362" s="17" t="s">
        <v>36</v>
      </c>
      <c r="D362" s="17" t="s">
        <v>24</v>
      </c>
      <c r="E362" s="17" t="s">
        <v>40</v>
      </c>
      <c r="F362" s="17" t="s">
        <v>26</v>
      </c>
      <c r="G362" s="17">
        <v>340.0</v>
      </c>
      <c r="H362" s="17">
        <v>68.0</v>
      </c>
      <c r="I362" s="17"/>
    </row>
    <row r="363" ht="15.75" hidden="1" customHeight="1">
      <c r="B363" s="19" t="s">
        <v>605</v>
      </c>
      <c r="C363" s="19" t="s">
        <v>550</v>
      </c>
      <c r="D363" s="19" t="s">
        <v>17</v>
      </c>
      <c r="E363" s="19" t="s">
        <v>18</v>
      </c>
      <c r="F363" s="19" t="s">
        <v>47</v>
      </c>
      <c r="G363" s="19">
        <v>282.0</v>
      </c>
      <c r="H363" s="19">
        <v>56.4</v>
      </c>
      <c r="I363" s="19"/>
    </row>
    <row r="364" ht="15.75" hidden="1" customHeight="1">
      <c r="B364" s="17" t="s">
        <v>606</v>
      </c>
      <c r="C364" s="17" t="s">
        <v>34</v>
      </c>
      <c r="D364" s="17" t="s">
        <v>17</v>
      </c>
      <c r="E364" s="17" t="s">
        <v>30</v>
      </c>
      <c r="F364" s="17" t="s">
        <v>19</v>
      </c>
      <c r="G364" s="17">
        <v>339.0</v>
      </c>
      <c r="H364" s="17">
        <v>67.8</v>
      </c>
      <c r="I364" s="17"/>
    </row>
    <row r="365" ht="15.75" hidden="1" customHeight="1">
      <c r="B365" s="19" t="s">
        <v>607</v>
      </c>
      <c r="C365" s="19" t="s">
        <v>434</v>
      </c>
      <c r="D365" s="19" t="s">
        <v>24</v>
      </c>
      <c r="E365" s="19" t="s">
        <v>30</v>
      </c>
      <c r="F365" s="19" t="s">
        <v>47</v>
      </c>
      <c r="G365" s="19">
        <v>417.0</v>
      </c>
      <c r="H365" s="19">
        <v>83.4</v>
      </c>
      <c r="I365" s="19"/>
    </row>
    <row r="366" ht="15.75" hidden="1" customHeight="1">
      <c r="B366" s="17" t="s">
        <v>608</v>
      </c>
      <c r="C366" s="17" t="s">
        <v>265</v>
      </c>
      <c r="D366" s="17" t="s">
        <v>24</v>
      </c>
      <c r="E366" s="17" t="s">
        <v>25</v>
      </c>
      <c r="F366" s="17" t="s">
        <v>47</v>
      </c>
      <c r="G366" s="17">
        <v>311.0</v>
      </c>
      <c r="H366" s="17">
        <v>62.2</v>
      </c>
      <c r="I366" s="17"/>
    </row>
    <row r="367" ht="15.75" customHeight="1">
      <c r="A367" s="21"/>
      <c r="B367" s="19" t="s">
        <v>609</v>
      </c>
      <c r="C367" s="19" t="s">
        <v>99</v>
      </c>
      <c r="D367" s="19" t="s">
        <v>17</v>
      </c>
      <c r="E367" s="19" t="s">
        <v>40</v>
      </c>
      <c r="F367" s="19" t="s">
        <v>19</v>
      </c>
      <c r="G367" s="19">
        <v>401.0</v>
      </c>
      <c r="H367" s="19">
        <v>80.2</v>
      </c>
      <c r="I367" s="19"/>
    </row>
    <row r="368" ht="15.75" hidden="1" customHeight="1">
      <c r="B368" s="17" t="s">
        <v>610</v>
      </c>
      <c r="C368" s="17" t="s">
        <v>611</v>
      </c>
      <c r="D368" s="17" t="s">
        <v>24</v>
      </c>
      <c r="E368" s="17" t="s">
        <v>30</v>
      </c>
      <c r="F368" s="17" t="s">
        <v>47</v>
      </c>
      <c r="G368" s="17">
        <v>385.0</v>
      </c>
      <c r="H368" s="17">
        <v>77.0</v>
      </c>
      <c r="I368" s="17"/>
    </row>
    <row r="369" ht="15.75" hidden="1" customHeight="1">
      <c r="B369" s="19" t="s">
        <v>612</v>
      </c>
      <c r="C369" s="19" t="s">
        <v>580</v>
      </c>
      <c r="D369" s="19" t="s">
        <v>17</v>
      </c>
      <c r="E369" s="19" t="s">
        <v>40</v>
      </c>
      <c r="F369" s="19" t="s">
        <v>47</v>
      </c>
      <c r="G369" s="19">
        <v>344.0</v>
      </c>
      <c r="H369" s="19">
        <v>68.8</v>
      </c>
      <c r="I369" s="19"/>
    </row>
    <row r="370" ht="15.75" hidden="1" customHeight="1">
      <c r="B370" s="17" t="s">
        <v>613</v>
      </c>
      <c r="C370" s="17" t="s">
        <v>614</v>
      </c>
      <c r="D370" s="17" t="s">
        <v>24</v>
      </c>
      <c r="E370" s="17" t="s">
        <v>30</v>
      </c>
      <c r="F370" s="17" t="s">
        <v>26</v>
      </c>
      <c r="G370" s="17">
        <v>343.0</v>
      </c>
      <c r="H370" s="17">
        <v>68.6</v>
      </c>
      <c r="I370" s="17"/>
    </row>
    <row r="371" ht="15.75" hidden="1" customHeight="1">
      <c r="B371" s="19" t="s">
        <v>615</v>
      </c>
      <c r="C371" s="19" t="s">
        <v>125</v>
      </c>
      <c r="D371" s="19" t="s">
        <v>17</v>
      </c>
      <c r="E371" s="19" t="s">
        <v>25</v>
      </c>
      <c r="F371" s="19" t="s">
        <v>47</v>
      </c>
      <c r="G371" s="19">
        <v>407.0</v>
      </c>
      <c r="H371" s="19">
        <v>81.4</v>
      </c>
      <c r="I371" s="19"/>
    </row>
    <row r="372" ht="15.75" hidden="1" customHeight="1">
      <c r="B372" s="17" t="s">
        <v>616</v>
      </c>
      <c r="C372" s="17" t="s">
        <v>502</v>
      </c>
      <c r="D372" s="17" t="s">
        <v>24</v>
      </c>
      <c r="E372" s="17" t="s">
        <v>30</v>
      </c>
      <c r="F372" s="17" t="s">
        <v>26</v>
      </c>
      <c r="G372" s="17">
        <v>355.0</v>
      </c>
      <c r="H372" s="17">
        <v>71.0</v>
      </c>
      <c r="I372" s="17"/>
    </row>
    <row r="373" ht="15.75" hidden="1" customHeight="1">
      <c r="B373" s="19" t="s">
        <v>617</v>
      </c>
      <c r="C373" s="19" t="s">
        <v>117</v>
      </c>
      <c r="D373" s="19" t="s">
        <v>24</v>
      </c>
      <c r="E373" s="19" t="s">
        <v>25</v>
      </c>
      <c r="F373" s="19" t="s">
        <v>26</v>
      </c>
      <c r="G373" s="19">
        <v>395.0</v>
      </c>
      <c r="H373" s="19">
        <v>79.0</v>
      </c>
      <c r="I373" s="19"/>
    </row>
    <row r="374" ht="15.75" hidden="1" customHeight="1">
      <c r="B374" s="17" t="s">
        <v>618</v>
      </c>
      <c r="C374" s="17" t="s">
        <v>475</v>
      </c>
      <c r="D374" s="17" t="s">
        <v>24</v>
      </c>
      <c r="E374" s="17" t="s">
        <v>18</v>
      </c>
      <c r="F374" s="17" t="s">
        <v>47</v>
      </c>
      <c r="G374" s="17">
        <v>378.0</v>
      </c>
      <c r="H374" s="17">
        <v>75.6</v>
      </c>
      <c r="I374" s="17"/>
    </row>
    <row r="375" ht="15.75" hidden="1" customHeight="1">
      <c r="B375" s="19" t="s">
        <v>619</v>
      </c>
      <c r="C375" s="19" t="s">
        <v>121</v>
      </c>
      <c r="D375" s="19" t="s">
        <v>17</v>
      </c>
      <c r="E375" s="19" t="s">
        <v>25</v>
      </c>
      <c r="F375" s="19" t="s">
        <v>47</v>
      </c>
      <c r="G375" s="19">
        <v>302.0</v>
      </c>
      <c r="H375" s="19">
        <v>60.4</v>
      </c>
      <c r="I375" s="19"/>
    </row>
    <row r="376" ht="15.75" hidden="1" customHeight="1">
      <c r="B376" s="17" t="s">
        <v>620</v>
      </c>
      <c r="C376" s="17" t="s">
        <v>135</v>
      </c>
      <c r="D376" s="17" t="s">
        <v>17</v>
      </c>
      <c r="E376" s="17" t="s">
        <v>25</v>
      </c>
      <c r="F376" s="17" t="s">
        <v>47</v>
      </c>
      <c r="G376" s="17">
        <v>395.0</v>
      </c>
      <c r="H376" s="17">
        <v>79.0</v>
      </c>
      <c r="I376" s="17"/>
    </row>
    <row r="377" ht="15.75" hidden="1" customHeight="1">
      <c r="B377" s="19" t="s">
        <v>621</v>
      </c>
      <c r="C377" s="19" t="s">
        <v>279</v>
      </c>
      <c r="D377" s="19" t="s">
        <v>17</v>
      </c>
      <c r="E377" s="19" t="s">
        <v>25</v>
      </c>
      <c r="F377" s="19" t="s">
        <v>47</v>
      </c>
      <c r="G377" s="19">
        <v>344.0</v>
      </c>
      <c r="H377" s="19">
        <v>68.8</v>
      </c>
      <c r="I377" s="19"/>
    </row>
    <row r="378" ht="15.75" hidden="1" customHeight="1">
      <c r="B378" s="17" t="s">
        <v>622</v>
      </c>
      <c r="C378" s="17" t="s">
        <v>623</v>
      </c>
      <c r="D378" s="17" t="s">
        <v>24</v>
      </c>
      <c r="E378" s="17" t="s">
        <v>30</v>
      </c>
      <c r="F378" s="17" t="s">
        <v>26</v>
      </c>
      <c r="G378" s="17">
        <v>355.0</v>
      </c>
      <c r="H378" s="17">
        <v>71.0</v>
      </c>
      <c r="I378" s="17"/>
    </row>
    <row r="379" ht="15.75" hidden="1" customHeight="1">
      <c r="B379" s="19" t="s">
        <v>624</v>
      </c>
      <c r="C379" s="19" t="s">
        <v>625</v>
      </c>
      <c r="D379" s="19" t="s">
        <v>24</v>
      </c>
      <c r="E379" s="19" t="s">
        <v>18</v>
      </c>
      <c r="F379" s="19" t="s">
        <v>19</v>
      </c>
      <c r="G379" s="19">
        <v>409.0</v>
      </c>
      <c r="H379" s="19">
        <v>81.8</v>
      </c>
      <c r="I379" s="19"/>
    </row>
    <row r="380" ht="15.75" hidden="1" customHeight="1">
      <c r="B380" s="17" t="s">
        <v>626</v>
      </c>
      <c r="C380" s="17" t="s">
        <v>367</v>
      </c>
      <c r="D380" s="17" t="s">
        <v>24</v>
      </c>
      <c r="E380" s="17" t="s">
        <v>18</v>
      </c>
      <c r="F380" s="17" t="s">
        <v>19</v>
      </c>
      <c r="G380" s="17">
        <v>315.0</v>
      </c>
      <c r="H380" s="17">
        <v>63.0</v>
      </c>
      <c r="I380" s="17"/>
    </row>
    <row r="381" ht="15.75" hidden="1" customHeight="1">
      <c r="B381" s="19" t="s">
        <v>627</v>
      </c>
      <c r="C381" s="19" t="s">
        <v>628</v>
      </c>
      <c r="D381" s="19" t="s">
        <v>24</v>
      </c>
      <c r="E381" s="19" t="s">
        <v>30</v>
      </c>
      <c r="F381" s="19" t="s">
        <v>26</v>
      </c>
      <c r="G381" s="19">
        <v>346.0</v>
      </c>
      <c r="H381" s="19">
        <v>69.2</v>
      </c>
      <c r="I381" s="19"/>
    </row>
    <row r="382" ht="15.75" hidden="1" customHeight="1">
      <c r="B382" s="17" t="s">
        <v>629</v>
      </c>
      <c r="C382" s="17" t="s">
        <v>630</v>
      </c>
      <c r="D382" s="17" t="s">
        <v>24</v>
      </c>
      <c r="E382" s="17" t="s">
        <v>25</v>
      </c>
      <c r="F382" s="17" t="s">
        <v>47</v>
      </c>
      <c r="G382" s="17">
        <v>346.0</v>
      </c>
      <c r="H382" s="17">
        <v>69.2</v>
      </c>
      <c r="I382" s="17"/>
    </row>
    <row r="383" ht="15.75" hidden="1" customHeight="1">
      <c r="B383" s="19" t="s">
        <v>631</v>
      </c>
      <c r="C383" s="19" t="s">
        <v>121</v>
      </c>
      <c r="D383" s="19" t="s">
        <v>24</v>
      </c>
      <c r="E383" s="19" t="s">
        <v>18</v>
      </c>
      <c r="F383" s="19" t="s">
        <v>26</v>
      </c>
      <c r="G383" s="19">
        <v>317.0</v>
      </c>
      <c r="H383" s="19">
        <v>63.4</v>
      </c>
      <c r="I383" s="19"/>
    </row>
    <row r="384" ht="15.75" hidden="1" customHeight="1">
      <c r="B384" s="17" t="s">
        <v>632</v>
      </c>
      <c r="C384" s="17" t="s">
        <v>633</v>
      </c>
      <c r="D384" s="17" t="s">
        <v>17</v>
      </c>
      <c r="E384" s="17" t="s">
        <v>54</v>
      </c>
      <c r="F384" s="17" t="s">
        <v>19</v>
      </c>
      <c r="G384" s="17">
        <v>415.0</v>
      </c>
      <c r="H384" s="17">
        <v>83.0</v>
      </c>
      <c r="I384" s="17"/>
    </row>
    <row r="385" ht="15.75" hidden="1" customHeight="1">
      <c r="B385" s="19" t="s">
        <v>634</v>
      </c>
      <c r="C385" s="19" t="s">
        <v>201</v>
      </c>
      <c r="D385" s="19" t="s">
        <v>24</v>
      </c>
      <c r="E385" s="19" t="s">
        <v>54</v>
      </c>
      <c r="F385" s="19" t="s">
        <v>47</v>
      </c>
      <c r="G385" s="19">
        <v>355.0</v>
      </c>
      <c r="H385" s="19">
        <v>71.0</v>
      </c>
      <c r="I385" s="19"/>
    </row>
    <row r="386" ht="15.75" hidden="1" customHeight="1">
      <c r="B386" s="17" t="s">
        <v>635</v>
      </c>
      <c r="C386" s="17" t="s">
        <v>385</v>
      </c>
      <c r="D386" s="17" t="s">
        <v>17</v>
      </c>
      <c r="E386" s="17" t="s">
        <v>54</v>
      </c>
      <c r="F386" s="17" t="s">
        <v>47</v>
      </c>
      <c r="G386" s="17">
        <v>355.0</v>
      </c>
      <c r="H386" s="17">
        <v>71.0</v>
      </c>
      <c r="I386" s="17"/>
    </row>
    <row r="387" ht="15.75" hidden="1" customHeight="1">
      <c r="B387" s="19" t="s">
        <v>636</v>
      </c>
      <c r="C387" s="19" t="s">
        <v>147</v>
      </c>
      <c r="D387" s="19" t="s">
        <v>24</v>
      </c>
      <c r="E387" s="19" t="s">
        <v>54</v>
      </c>
      <c r="F387" s="19" t="s">
        <v>26</v>
      </c>
      <c r="G387" s="19">
        <v>398.0</v>
      </c>
      <c r="H387" s="19">
        <v>79.6</v>
      </c>
      <c r="I387" s="19"/>
    </row>
    <row r="388" ht="15.75" hidden="1" customHeight="1">
      <c r="B388" s="17" t="s">
        <v>637</v>
      </c>
      <c r="C388" s="17" t="s">
        <v>638</v>
      </c>
      <c r="D388" s="17" t="s">
        <v>24</v>
      </c>
      <c r="E388" s="17" t="s">
        <v>40</v>
      </c>
      <c r="F388" s="17" t="s">
        <v>19</v>
      </c>
      <c r="G388" s="17">
        <v>347.0</v>
      </c>
      <c r="H388" s="17">
        <v>69.4</v>
      </c>
      <c r="I388" s="17"/>
    </row>
    <row r="389" ht="15.75" hidden="1" customHeight="1">
      <c r="B389" s="19" t="s">
        <v>639</v>
      </c>
      <c r="C389" s="19" t="s">
        <v>640</v>
      </c>
      <c r="D389" s="19" t="s">
        <v>24</v>
      </c>
      <c r="E389" s="19" t="s">
        <v>40</v>
      </c>
      <c r="F389" s="19" t="s">
        <v>47</v>
      </c>
      <c r="G389" s="19">
        <v>351.0</v>
      </c>
      <c r="H389" s="19">
        <v>70.2</v>
      </c>
      <c r="I389" s="19"/>
    </row>
    <row r="390" ht="15.75" hidden="1" customHeight="1">
      <c r="B390" s="17" t="s">
        <v>641</v>
      </c>
      <c r="C390" s="17" t="s">
        <v>123</v>
      </c>
      <c r="D390" s="17" t="s">
        <v>24</v>
      </c>
      <c r="E390" s="17" t="s">
        <v>30</v>
      </c>
      <c r="F390" s="17" t="s">
        <v>47</v>
      </c>
      <c r="G390" s="17">
        <v>398.0</v>
      </c>
      <c r="H390" s="17">
        <v>79.6</v>
      </c>
      <c r="I390" s="17"/>
    </row>
    <row r="391" ht="15.75" hidden="1" customHeight="1">
      <c r="B391" s="19" t="s">
        <v>642</v>
      </c>
      <c r="C391" s="19" t="s">
        <v>328</v>
      </c>
      <c r="D391" s="19" t="s">
        <v>17</v>
      </c>
      <c r="E391" s="19" t="s">
        <v>25</v>
      </c>
      <c r="F391" s="19" t="s">
        <v>19</v>
      </c>
      <c r="G391" s="19">
        <v>384.0</v>
      </c>
      <c r="H391" s="19">
        <v>76.8</v>
      </c>
      <c r="I391" s="19"/>
    </row>
    <row r="392" ht="15.75" hidden="1" customHeight="1">
      <c r="B392" s="17" t="s">
        <v>643</v>
      </c>
      <c r="C392" s="17" t="s">
        <v>644</v>
      </c>
      <c r="D392" s="17" t="s">
        <v>24</v>
      </c>
      <c r="E392" s="17" t="s">
        <v>18</v>
      </c>
      <c r="F392" s="17" t="s">
        <v>26</v>
      </c>
      <c r="G392" s="17">
        <v>306.0</v>
      </c>
      <c r="H392" s="17">
        <v>61.2</v>
      </c>
      <c r="I392" s="17"/>
    </row>
    <row r="393" ht="15.75" hidden="1" customHeight="1">
      <c r="B393" s="19" t="s">
        <v>645</v>
      </c>
      <c r="C393" s="19" t="s">
        <v>646</v>
      </c>
      <c r="D393" s="19" t="s">
        <v>24</v>
      </c>
      <c r="E393" s="19" t="s">
        <v>40</v>
      </c>
      <c r="F393" s="19" t="s">
        <v>26</v>
      </c>
      <c r="G393" s="19">
        <v>367.0</v>
      </c>
      <c r="H393" s="19">
        <v>73.4</v>
      </c>
      <c r="I393" s="19"/>
    </row>
    <row r="394" ht="15.75" hidden="1" customHeight="1">
      <c r="B394" s="17" t="s">
        <v>647</v>
      </c>
      <c r="C394" s="17" t="s">
        <v>193</v>
      </c>
      <c r="D394" s="17" t="s">
        <v>17</v>
      </c>
      <c r="E394" s="17" t="s">
        <v>18</v>
      </c>
      <c r="F394" s="17" t="s">
        <v>19</v>
      </c>
      <c r="G394" s="17">
        <v>345.0</v>
      </c>
      <c r="H394" s="17">
        <v>69.0</v>
      </c>
      <c r="I394" s="17"/>
    </row>
    <row r="395" ht="15.75" hidden="1" customHeight="1">
      <c r="B395" s="19" t="s">
        <v>648</v>
      </c>
      <c r="C395" s="19" t="s">
        <v>526</v>
      </c>
      <c r="D395" s="19" t="s">
        <v>17</v>
      </c>
      <c r="E395" s="19" t="s">
        <v>40</v>
      </c>
      <c r="F395" s="19" t="s">
        <v>19</v>
      </c>
      <c r="G395" s="19">
        <v>342.0</v>
      </c>
      <c r="H395" s="19">
        <v>68.4</v>
      </c>
      <c r="I395" s="19"/>
    </row>
    <row r="396" ht="15.75" hidden="1" customHeight="1">
      <c r="B396" s="17" t="s">
        <v>649</v>
      </c>
      <c r="C396" s="17" t="s">
        <v>471</v>
      </c>
      <c r="D396" s="17" t="s">
        <v>17</v>
      </c>
      <c r="E396" s="17" t="s">
        <v>54</v>
      </c>
      <c r="F396" s="17" t="s">
        <v>26</v>
      </c>
      <c r="G396" s="17">
        <v>356.0</v>
      </c>
      <c r="H396" s="17">
        <v>71.2</v>
      </c>
      <c r="I396" s="17"/>
    </row>
    <row r="397" ht="15.75" hidden="1" customHeight="1">
      <c r="B397" s="19" t="s">
        <v>650</v>
      </c>
      <c r="C397" s="19" t="s">
        <v>651</v>
      </c>
      <c r="D397" s="19" t="s">
        <v>24</v>
      </c>
      <c r="E397" s="19" t="s">
        <v>25</v>
      </c>
      <c r="F397" s="19" t="s">
        <v>19</v>
      </c>
      <c r="G397" s="19">
        <v>232.0</v>
      </c>
      <c r="H397" s="19">
        <v>46.4</v>
      </c>
      <c r="I397" s="19"/>
    </row>
    <row r="398" ht="15.75" hidden="1" customHeight="1">
      <c r="B398" s="17" t="s">
        <v>653</v>
      </c>
      <c r="C398" s="17" t="s">
        <v>204</v>
      </c>
      <c r="D398" s="17" t="s">
        <v>24</v>
      </c>
      <c r="E398" s="17" t="s">
        <v>25</v>
      </c>
      <c r="F398" s="17" t="s">
        <v>47</v>
      </c>
      <c r="G398" s="17">
        <v>381.0</v>
      </c>
      <c r="H398" s="17">
        <v>76.2</v>
      </c>
      <c r="I398" s="17"/>
    </row>
    <row r="399" ht="15.75" hidden="1" customHeight="1">
      <c r="B399" s="19" t="s">
        <v>654</v>
      </c>
      <c r="C399" s="19" t="s">
        <v>530</v>
      </c>
      <c r="D399" s="19" t="s">
        <v>17</v>
      </c>
      <c r="E399" s="19" t="s">
        <v>40</v>
      </c>
      <c r="F399" s="19" t="s">
        <v>47</v>
      </c>
      <c r="G399" s="19">
        <v>332.0</v>
      </c>
      <c r="H399" s="19">
        <v>66.4</v>
      </c>
      <c r="I399" s="19"/>
    </row>
    <row r="400" ht="15.75" hidden="1" customHeight="1">
      <c r="B400" s="17" t="s">
        <v>655</v>
      </c>
      <c r="C400" s="17" t="s">
        <v>429</v>
      </c>
      <c r="D400" s="17" t="s">
        <v>24</v>
      </c>
      <c r="E400" s="17" t="s">
        <v>18</v>
      </c>
      <c r="F400" s="17" t="s">
        <v>47</v>
      </c>
      <c r="G400" s="17">
        <v>353.0</v>
      </c>
      <c r="H400" s="17">
        <v>70.6</v>
      </c>
      <c r="I400" s="17"/>
    </row>
    <row r="401" ht="15.75" hidden="1" customHeight="1">
      <c r="B401" s="19" t="s">
        <v>656</v>
      </c>
      <c r="C401" s="19" t="s">
        <v>145</v>
      </c>
      <c r="D401" s="19" t="s">
        <v>24</v>
      </c>
      <c r="E401" s="19" t="s">
        <v>30</v>
      </c>
      <c r="F401" s="19" t="s">
        <v>26</v>
      </c>
      <c r="G401" s="19">
        <v>383.0</v>
      </c>
      <c r="H401" s="19">
        <v>76.6</v>
      </c>
      <c r="I401" s="19"/>
    </row>
    <row r="402" ht="15.75" hidden="1" customHeight="1">
      <c r="B402" s="17" t="s">
        <v>657</v>
      </c>
      <c r="C402" s="17" t="s">
        <v>340</v>
      </c>
      <c r="D402" s="17" t="s">
        <v>24</v>
      </c>
      <c r="E402" s="17" t="s">
        <v>30</v>
      </c>
      <c r="F402" s="17" t="s">
        <v>26</v>
      </c>
      <c r="G402" s="17">
        <v>382.0</v>
      </c>
      <c r="H402" s="17">
        <v>76.4</v>
      </c>
      <c r="I402" s="17"/>
    </row>
    <row r="403" ht="15.75" hidden="1" customHeight="1">
      <c r="B403" s="19" t="s">
        <v>658</v>
      </c>
      <c r="C403" s="19" t="s">
        <v>167</v>
      </c>
      <c r="D403" s="19" t="s">
        <v>24</v>
      </c>
      <c r="E403" s="19" t="s">
        <v>40</v>
      </c>
      <c r="F403" s="19" t="s">
        <v>19</v>
      </c>
      <c r="G403" s="19">
        <v>328.0</v>
      </c>
      <c r="H403" s="19">
        <v>65.6</v>
      </c>
      <c r="I403" s="19"/>
    </row>
    <row r="404" ht="15.75" hidden="1" customHeight="1">
      <c r="B404" s="17" t="s">
        <v>659</v>
      </c>
      <c r="C404" s="17" t="s">
        <v>564</v>
      </c>
      <c r="D404" s="17" t="s">
        <v>17</v>
      </c>
      <c r="E404" s="17" t="s">
        <v>30</v>
      </c>
      <c r="F404" s="17" t="s">
        <v>47</v>
      </c>
      <c r="G404" s="17">
        <v>304.0</v>
      </c>
      <c r="H404" s="17">
        <v>60.8</v>
      </c>
      <c r="I404" s="17"/>
    </row>
    <row r="405" ht="15.75" hidden="1" customHeight="1">
      <c r="B405" s="19" t="s">
        <v>660</v>
      </c>
      <c r="C405" s="19" t="s">
        <v>183</v>
      </c>
      <c r="D405" s="19" t="s">
        <v>17</v>
      </c>
      <c r="E405" s="19" t="s">
        <v>40</v>
      </c>
      <c r="F405" s="19" t="s">
        <v>19</v>
      </c>
      <c r="G405" s="19">
        <v>353.0</v>
      </c>
      <c r="H405" s="19">
        <v>70.6</v>
      </c>
      <c r="I405" s="19"/>
    </row>
    <row r="406" ht="15.75" hidden="1" customHeight="1">
      <c r="B406" s="17" t="s">
        <v>661</v>
      </c>
      <c r="C406" s="17" t="s">
        <v>514</v>
      </c>
      <c r="D406" s="17" t="s">
        <v>24</v>
      </c>
      <c r="E406" s="17" t="s">
        <v>25</v>
      </c>
      <c r="F406" s="17" t="s">
        <v>19</v>
      </c>
      <c r="G406" s="17">
        <v>378.0</v>
      </c>
      <c r="H406" s="17">
        <v>75.6</v>
      </c>
      <c r="I406" s="17"/>
    </row>
    <row r="407" ht="15.75" hidden="1" customHeight="1">
      <c r="B407" s="19" t="s">
        <v>662</v>
      </c>
      <c r="C407" s="19" t="s">
        <v>471</v>
      </c>
      <c r="D407" s="19" t="s">
        <v>17</v>
      </c>
      <c r="E407" s="19" t="s">
        <v>30</v>
      </c>
      <c r="F407" s="19" t="s">
        <v>47</v>
      </c>
      <c r="G407" s="19">
        <v>333.0</v>
      </c>
      <c r="H407" s="19">
        <v>66.6</v>
      </c>
      <c r="I407" s="19"/>
    </row>
    <row r="408" ht="15.75" hidden="1" customHeight="1">
      <c r="B408" s="17" t="s">
        <v>663</v>
      </c>
      <c r="C408" s="17" t="s">
        <v>153</v>
      </c>
      <c r="D408" s="17" t="s">
        <v>17</v>
      </c>
      <c r="E408" s="17" t="s">
        <v>54</v>
      </c>
      <c r="F408" s="17" t="s">
        <v>26</v>
      </c>
      <c r="G408" s="17">
        <v>429.0</v>
      </c>
      <c r="H408" s="17">
        <v>85.8</v>
      </c>
      <c r="I408" s="17"/>
    </row>
    <row r="409" ht="15.75" hidden="1" customHeight="1">
      <c r="B409" s="19" t="s">
        <v>664</v>
      </c>
      <c r="C409" s="19" t="s">
        <v>161</v>
      </c>
      <c r="D409" s="19" t="s">
        <v>24</v>
      </c>
      <c r="E409" s="19" t="s">
        <v>54</v>
      </c>
      <c r="F409" s="19" t="s">
        <v>19</v>
      </c>
      <c r="G409" s="19">
        <v>407.0</v>
      </c>
      <c r="H409" s="19">
        <v>81.4</v>
      </c>
      <c r="I409" s="19"/>
    </row>
    <row r="410" ht="15.75" hidden="1" customHeight="1">
      <c r="B410" s="17" t="s">
        <v>665</v>
      </c>
      <c r="C410" s="17" t="s">
        <v>167</v>
      </c>
      <c r="D410" s="17" t="s">
        <v>17</v>
      </c>
      <c r="E410" s="17" t="s">
        <v>30</v>
      </c>
      <c r="F410" s="17" t="s">
        <v>19</v>
      </c>
      <c r="G410" s="17">
        <v>413.0</v>
      </c>
      <c r="H410" s="17">
        <v>82.6</v>
      </c>
      <c r="I410" s="17"/>
    </row>
    <row r="411" ht="15.75" hidden="1" customHeight="1">
      <c r="B411" s="19" t="s">
        <v>666</v>
      </c>
      <c r="C411" s="19" t="s">
        <v>383</v>
      </c>
      <c r="D411" s="19" t="s">
        <v>24</v>
      </c>
      <c r="E411" s="19" t="s">
        <v>25</v>
      </c>
      <c r="F411" s="19" t="s">
        <v>19</v>
      </c>
      <c r="G411" s="19">
        <v>397.0</v>
      </c>
      <c r="H411" s="19">
        <v>79.4</v>
      </c>
      <c r="I411" s="19"/>
    </row>
    <row r="412" ht="15.75" hidden="1" customHeight="1">
      <c r="B412" s="17" t="s">
        <v>667</v>
      </c>
      <c r="C412" s="17" t="s">
        <v>534</v>
      </c>
      <c r="D412" s="17" t="s">
        <v>24</v>
      </c>
      <c r="E412" s="17" t="s">
        <v>30</v>
      </c>
      <c r="F412" s="17" t="s">
        <v>19</v>
      </c>
      <c r="G412" s="17">
        <v>268.0</v>
      </c>
      <c r="H412" s="17">
        <v>53.6</v>
      </c>
      <c r="I412" s="17"/>
    </row>
    <row r="413" ht="15.75" hidden="1" customHeight="1">
      <c r="B413" s="19" t="s">
        <v>668</v>
      </c>
      <c r="C413" s="19" t="s">
        <v>23</v>
      </c>
      <c r="D413" s="19" t="s">
        <v>24</v>
      </c>
      <c r="E413" s="19" t="s">
        <v>30</v>
      </c>
      <c r="F413" s="19" t="s">
        <v>19</v>
      </c>
      <c r="G413" s="19">
        <v>272.0</v>
      </c>
      <c r="H413" s="19">
        <v>54.4</v>
      </c>
      <c r="I413" s="19"/>
    </row>
    <row r="414" ht="15.75" hidden="1" customHeight="1">
      <c r="B414" s="17" t="s">
        <v>669</v>
      </c>
      <c r="C414" s="17" t="s">
        <v>333</v>
      </c>
      <c r="D414" s="17" t="s">
        <v>24</v>
      </c>
      <c r="E414" s="17" t="s">
        <v>30</v>
      </c>
      <c r="F414" s="17" t="s">
        <v>26</v>
      </c>
      <c r="G414" s="17">
        <v>376.0</v>
      </c>
      <c r="H414" s="17">
        <v>75.2</v>
      </c>
      <c r="I414" s="17"/>
    </row>
    <row r="415" ht="15.75" hidden="1" customHeight="1">
      <c r="B415" s="19" t="s">
        <v>670</v>
      </c>
      <c r="C415" s="19" t="s">
        <v>23</v>
      </c>
      <c r="D415" s="19" t="s">
        <v>17</v>
      </c>
      <c r="E415" s="19" t="s">
        <v>25</v>
      </c>
      <c r="F415" s="19" t="s">
        <v>47</v>
      </c>
      <c r="G415" s="19">
        <v>390.0</v>
      </c>
      <c r="H415" s="19">
        <v>78.0</v>
      </c>
      <c r="I415" s="19"/>
    </row>
    <row r="416" ht="15.75" hidden="1" customHeight="1">
      <c r="B416" s="17" t="s">
        <v>671</v>
      </c>
      <c r="C416" s="17" t="s">
        <v>191</v>
      </c>
      <c r="D416" s="17" t="s">
        <v>24</v>
      </c>
      <c r="E416" s="17" t="s">
        <v>30</v>
      </c>
      <c r="F416" s="17" t="s">
        <v>26</v>
      </c>
      <c r="G416" s="17">
        <v>300.0</v>
      </c>
      <c r="H416" s="17">
        <v>60.0</v>
      </c>
      <c r="I416" s="17"/>
    </row>
    <row r="417" ht="15.75" hidden="1" customHeight="1">
      <c r="B417" s="19" t="s">
        <v>672</v>
      </c>
      <c r="C417" s="19" t="s">
        <v>167</v>
      </c>
      <c r="D417" s="19" t="s">
        <v>17</v>
      </c>
      <c r="E417" s="19" t="s">
        <v>25</v>
      </c>
      <c r="F417" s="19" t="s">
        <v>47</v>
      </c>
      <c r="G417" s="19">
        <v>357.0</v>
      </c>
      <c r="H417" s="19">
        <v>71.4</v>
      </c>
      <c r="I417" s="19"/>
    </row>
    <row r="418" ht="15.75" hidden="1" customHeight="1">
      <c r="B418" s="17" t="s">
        <v>673</v>
      </c>
      <c r="C418" s="17" t="s">
        <v>291</v>
      </c>
      <c r="D418" s="17" t="s">
        <v>24</v>
      </c>
      <c r="E418" s="17" t="s">
        <v>30</v>
      </c>
      <c r="F418" s="17" t="s">
        <v>47</v>
      </c>
      <c r="G418" s="17">
        <v>340.0</v>
      </c>
      <c r="H418" s="17">
        <v>68.0</v>
      </c>
      <c r="I418" s="17"/>
    </row>
    <row r="419" ht="15.75" hidden="1" customHeight="1">
      <c r="B419" s="19" t="s">
        <v>674</v>
      </c>
      <c r="C419" s="19" t="s">
        <v>74</v>
      </c>
      <c r="D419" s="19" t="s">
        <v>24</v>
      </c>
      <c r="E419" s="19" t="s">
        <v>18</v>
      </c>
      <c r="F419" s="19" t="s">
        <v>47</v>
      </c>
      <c r="G419" s="19">
        <v>325.0</v>
      </c>
      <c r="H419" s="19">
        <v>65.0</v>
      </c>
      <c r="I419" s="19"/>
    </row>
    <row r="420" ht="15.75" hidden="1" customHeight="1">
      <c r="B420" s="17" t="s">
        <v>675</v>
      </c>
      <c r="C420" s="17" t="s">
        <v>459</v>
      </c>
      <c r="D420" s="17" t="s">
        <v>24</v>
      </c>
      <c r="E420" s="17" t="s">
        <v>25</v>
      </c>
      <c r="F420" s="17" t="s">
        <v>19</v>
      </c>
      <c r="G420" s="17">
        <v>353.0</v>
      </c>
      <c r="H420" s="17">
        <v>70.6</v>
      </c>
      <c r="I420" s="17"/>
    </row>
    <row r="421" ht="15.75" hidden="1" customHeight="1">
      <c r="B421" s="19" t="s">
        <v>676</v>
      </c>
      <c r="C421" s="19" t="s">
        <v>268</v>
      </c>
      <c r="D421" s="19" t="s">
        <v>24</v>
      </c>
      <c r="E421" s="19" t="s">
        <v>54</v>
      </c>
      <c r="F421" s="19" t="s">
        <v>47</v>
      </c>
      <c r="G421" s="19">
        <v>427.0</v>
      </c>
      <c r="H421" s="19">
        <v>85.4</v>
      </c>
      <c r="I421" s="19"/>
    </row>
    <row r="422" ht="15.75" hidden="1" customHeight="1">
      <c r="B422" s="17" t="s">
        <v>677</v>
      </c>
      <c r="C422" s="17" t="s">
        <v>467</v>
      </c>
      <c r="D422" s="17" t="s">
        <v>17</v>
      </c>
      <c r="E422" s="17" t="s">
        <v>25</v>
      </c>
      <c r="F422" s="17" t="s">
        <v>47</v>
      </c>
      <c r="G422" s="17">
        <v>292.0</v>
      </c>
      <c r="H422" s="17">
        <v>58.4</v>
      </c>
      <c r="I422" s="17"/>
    </row>
    <row r="423" ht="15.75" hidden="1" customHeight="1">
      <c r="B423" s="19" t="s">
        <v>678</v>
      </c>
      <c r="C423" s="19" t="s">
        <v>277</v>
      </c>
      <c r="D423" s="19" t="s">
        <v>24</v>
      </c>
      <c r="E423" s="19" t="s">
        <v>30</v>
      </c>
      <c r="F423" s="19" t="s">
        <v>19</v>
      </c>
      <c r="G423" s="19">
        <v>266.0</v>
      </c>
      <c r="H423" s="19">
        <v>53.2</v>
      </c>
      <c r="I423" s="19"/>
    </row>
    <row r="424" ht="15.75" hidden="1" customHeight="1">
      <c r="B424" s="17" t="s">
        <v>679</v>
      </c>
      <c r="C424" s="17" t="s">
        <v>548</v>
      </c>
      <c r="D424" s="17" t="s">
        <v>24</v>
      </c>
      <c r="E424" s="17" t="s">
        <v>30</v>
      </c>
      <c r="F424" s="17" t="s">
        <v>19</v>
      </c>
      <c r="G424" s="17">
        <v>392.0</v>
      </c>
      <c r="H424" s="17">
        <v>78.4</v>
      </c>
      <c r="I424" s="17"/>
    </row>
    <row r="425" ht="15.75" hidden="1" customHeight="1">
      <c r="B425" s="19" t="s">
        <v>680</v>
      </c>
      <c r="C425" s="19" t="s">
        <v>508</v>
      </c>
      <c r="D425" s="19" t="s">
        <v>24</v>
      </c>
      <c r="E425" s="19" t="s">
        <v>25</v>
      </c>
      <c r="F425" s="19" t="s">
        <v>47</v>
      </c>
      <c r="G425" s="19">
        <v>306.0</v>
      </c>
      <c r="H425" s="19">
        <v>61.2</v>
      </c>
      <c r="I425" s="19"/>
    </row>
    <row r="426" ht="15.75" hidden="1" customHeight="1">
      <c r="B426" s="17" t="s">
        <v>681</v>
      </c>
      <c r="C426" s="17" t="s">
        <v>256</v>
      </c>
      <c r="D426" s="17" t="s">
        <v>24</v>
      </c>
      <c r="E426" s="17" t="s">
        <v>30</v>
      </c>
      <c r="F426" s="17" t="s">
        <v>19</v>
      </c>
      <c r="G426" s="17">
        <v>324.0</v>
      </c>
      <c r="H426" s="17">
        <v>64.8</v>
      </c>
      <c r="I426" s="17"/>
    </row>
    <row r="427" ht="15.75" hidden="1" customHeight="1">
      <c r="B427" s="19" t="s">
        <v>682</v>
      </c>
      <c r="C427" s="19" t="s">
        <v>683</v>
      </c>
      <c r="D427" s="19" t="s">
        <v>24</v>
      </c>
      <c r="E427" s="19" t="s">
        <v>30</v>
      </c>
      <c r="F427" s="19" t="s">
        <v>19</v>
      </c>
      <c r="G427" s="19">
        <v>333.0</v>
      </c>
      <c r="H427" s="19">
        <v>66.6</v>
      </c>
      <c r="I427" s="19"/>
    </row>
    <row r="428" ht="15.75" hidden="1" customHeight="1">
      <c r="B428" s="17" t="s">
        <v>684</v>
      </c>
      <c r="C428" s="17" t="s">
        <v>595</v>
      </c>
      <c r="D428" s="17" t="s">
        <v>17</v>
      </c>
      <c r="E428" s="17" t="s">
        <v>25</v>
      </c>
      <c r="F428" s="17" t="s">
        <v>19</v>
      </c>
      <c r="G428" s="17">
        <v>391.0</v>
      </c>
      <c r="H428" s="17">
        <v>78.2</v>
      </c>
      <c r="I428" s="17"/>
    </row>
    <row r="429" ht="15.75" hidden="1" customHeight="1">
      <c r="B429" s="19" t="s">
        <v>685</v>
      </c>
      <c r="C429" s="19" t="s">
        <v>208</v>
      </c>
      <c r="D429" s="19" t="s">
        <v>24</v>
      </c>
      <c r="E429" s="19" t="s">
        <v>18</v>
      </c>
      <c r="F429" s="19" t="s">
        <v>26</v>
      </c>
      <c r="G429" s="19">
        <v>389.0</v>
      </c>
      <c r="H429" s="19">
        <v>77.8</v>
      </c>
      <c r="I429" s="19"/>
    </row>
    <row r="430" ht="15.75" hidden="1" customHeight="1">
      <c r="B430" s="17" t="s">
        <v>686</v>
      </c>
      <c r="C430" s="17" t="s">
        <v>561</v>
      </c>
      <c r="D430" s="17" t="s">
        <v>24</v>
      </c>
      <c r="E430" s="17" t="s">
        <v>40</v>
      </c>
      <c r="F430" s="17" t="s">
        <v>47</v>
      </c>
      <c r="G430" s="17">
        <v>332.0</v>
      </c>
      <c r="H430" s="17">
        <v>66.4</v>
      </c>
      <c r="I430" s="17"/>
    </row>
    <row r="431" ht="15.75" hidden="1" customHeight="1">
      <c r="B431" s="19" t="s">
        <v>687</v>
      </c>
      <c r="C431" s="19" t="s">
        <v>324</v>
      </c>
      <c r="D431" s="19" t="s">
        <v>17</v>
      </c>
      <c r="E431" s="19" t="s">
        <v>40</v>
      </c>
      <c r="F431" s="19" t="s">
        <v>19</v>
      </c>
      <c r="G431" s="19">
        <v>339.0</v>
      </c>
      <c r="H431" s="19">
        <v>67.8</v>
      </c>
      <c r="I431" s="19"/>
    </row>
    <row r="432" ht="15.75" hidden="1" customHeight="1">
      <c r="B432" s="17" t="s">
        <v>688</v>
      </c>
      <c r="C432" s="17" t="s">
        <v>689</v>
      </c>
      <c r="D432" s="17" t="s">
        <v>24</v>
      </c>
      <c r="E432" s="17" t="s">
        <v>54</v>
      </c>
      <c r="F432" s="17" t="s">
        <v>19</v>
      </c>
      <c r="G432" s="17">
        <v>338.0</v>
      </c>
      <c r="H432" s="17">
        <v>67.6</v>
      </c>
      <c r="I432" s="17"/>
    </row>
    <row r="433" ht="15.75" hidden="1" customHeight="1">
      <c r="B433" s="19" t="s">
        <v>690</v>
      </c>
      <c r="C433" s="19" t="s">
        <v>628</v>
      </c>
      <c r="D433" s="19" t="s">
        <v>24</v>
      </c>
      <c r="E433" s="19" t="s">
        <v>40</v>
      </c>
      <c r="F433" s="19" t="s">
        <v>26</v>
      </c>
      <c r="G433" s="19">
        <v>410.0</v>
      </c>
      <c r="H433" s="19">
        <v>82.0</v>
      </c>
      <c r="I433" s="19"/>
    </row>
    <row r="434" ht="15.75" hidden="1" customHeight="1">
      <c r="B434" s="17" t="s">
        <v>691</v>
      </c>
      <c r="C434" s="17" t="s">
        <v>99</v>
      </c>
      <c r="D434" s="17" t="s">
        <v>24</v>
      </c>
      <c r="E434" s="17" t="s">
        <v>40</v>
      </c>
      <c r="F434" s="17" t="s">
        <v>19</v>
      </c>
      <c r="G434" s="17">
        <v>290.0</v>
      </c>
      <c r="H434" s="17">
        <v>58.0</v>
      </c>
      <c r="I434" s="17"/>
    </row>
    <row r="435" ht="15.75" hidden="1" customHeight="1">
      <c r="B435" s="19" t="s">
        <v>692</v>
      </c>
      <c r="C435" s="19" t="s">
        <v>29</v>
      </c>
      <c r="D435" s="19" t="s">
        <v>17</v>
      </c>
      <c r="E435" s="19" t="s">
        <v>18</v>
      </c>
      <c r="F435" s="19" t="s">
        <v>47</v>
      </c>
      <c r="G435" s="19">
        <v>329.0</v>
      </c>
      <c r="H435" s="19">
        <v>65.8</v>
      </c>
      <c r="I435" s="19"/>
    </row>
    <row r="436" ht="15.75" hidden="1" customHeight="1">
      <c r="B436" s="17" t="s">
        <v>693</v>
      </c>
      <c r="C436" s="17" t="s">
        <v>514</v>
      </c>
      <c r="D436" s="17" t="s">
        <v>17</v>
      </c>
      <c r="E436" s="17" t="s">
        <v>18</v>
      </c>
      <c r="F436" s="17" t="s">
        <v>47</v>
      </c>
      <c r="G436" s="17">
        <v>340.0</v>
      </c>
      <c r="H436" s="17">
        <v>68.0</v>
      </c>
      <c r="I436" s="17"/>
    </row>
    <row r="437" ht="15.75" hidden="1" customHeight="1">
      <c r="B437" s="19" t="s">
        <v>694</v>
      </c>
      <c r="C437" s="19" t="s">
        <v>695</v>
      </c>
      <c r="D437" s="19" t="s">
        <v>24</v>
      </c>
      <c r="E437" s="19" t="s">
        <v>30</v>
      </c>
      <c r="F437" s="19" t="s">
        <v>26</v>
      </c>
      <c r="G437" s="19">
        <v>363.0</v>
      </c>
      <c r="H437" s="19">
        <v>72.6</v>
      </c>
      <c r="I437" s="19"/>
    </row>
    <row r="438" ht="15.75" hidden="1" customHeight="1">
      <c r="B438" s="17" t="s">
        <v>696</v>
      </c>
      <c r="C438" s="17" t="s">
        <v>697</v>
      </c>
      <c r="D438" s="17" t="s">
        <v>17</v>
      </c>
      <c r="E438" s="17" t="s">
        <v>40</v>
      </c>
      <c r="F438" s="17" t="s">
        <v>19</v>
      </c>
      <c r="G438" s="17">
        <v>380.0</v>
      </c>
      <c r="H438" s="17">
        <v>76.0</v>
      </c>
      <c r="I438" s="17"/>
    </row>
    <row r="439" ht="15.75" hidden="1" customHeight="1">
      <c r="B439" s="19" t="s">
        <v>698</v>
      </c>
      <c r="C439" s="19" t="s">
        <v>197</v>
      </c>
      <c r="D439" s="19" t="s">
        <v>17</v>
      </c>
      <c r="E439" s="19" t="s">
        <v>18</v>
      </c>
      <c r="F439" s="19" t="s">
        <v>26</v>
      </c>
      <c r="G439" s="19">
        <v>377.0</v>
      </c>
      <c r="H439" s="19">
        <v>75.4</v>
      </c>
      <c r="I439" s="19"/>
    </row>
    <row r="440" ht="15.75" hidden="1" customHeight="1">
      <c r="B440" s="17" t="s">
        <v>699</v>
      </c>
      <c r="C440" s="17" t="s">
        <v>161</v>
      </c>
      <c r="D440" s="17" t="s">
        <v>24</v>
      </c>
      <c r="E440" s="17" t="s">
        <v>40</v>
      </c>
      <c r="F440" s="17" t="s">
        <v>26</v>
      </c>
      <c r="G440" s="17">
        <v>270.0</v>
      </c>
      <c r="H440" s="17">
        <v>54.0</v>
      </c>
      <c r="I440" s="17"/>
    </row>
    <row r="441" ht="15.75" hidden="1" customHeight="1">
      <c r="B441" s="19" t="s">
        <v>700</v>
      </c>
      <c r="C441" s="19" t="s">
        <v>163</v>
      </c>
      <c r="D441" s="19" t="s">
        <v>24</v>
      </c>
      <c r="E441" s="19" t="s">
        <v>40</v>
      </c>
      <c r="F441" s="19" t="s">
        <v>26</v>
      </c>
      <c r="G441" s="19">
        <v>374.0</v>
      </c>
      <c r="H441" s="19">
        <v>74.8</v>
      </c>
      <c r="I441" s="19"/>
    </row>
    <row r="442" ht="15.75" hidden="1" customHeight="1">
      <c r="B442" s="17" t="s">
        <v>701</v>
      </c>
      <c r="C442" s="17" t="s">
        <v>221</v>
      </c>
      <c r="D442" s="17" t="s">
        <v>24</v>
      </c>
      <c r="E442" s="17" t="s">
        <v>25</v>
      </c>
      <c r="F442" s="17" t="s">
        <v>26</v>
      </c>
      <c r="G442" s="17">
        <v>304.0</v>
      </c>
      <c r="H442" s="17">
        <v>60.8</v>
      </c>
      <c r="I442" s="17"/>
    </row>
    <row r="443" ht="15.75" hidden="1" customHeight="1">
      <c r="B443" s="19" t="s">
        <v>702</v>
      </c>
      <c r="C443" s="19" t="s">
        <v>703</v>
      </c>
      <c r="D443" s="19" t="s">
        <v>24</v>
      </c>
      <c r="E443" s="19" t="s">
        <v>30</v>
      </c>
      <c r="F443" s="19" t="s">
        <v>19</v>
      </c>
      <c r="G443" s="19">
        <v>374.0</v>
      </c>
      <c r="H443" s="19">
        <v>74.8</v>
      </c>
      <c r="I443" s="19"/>
    </row>
    <row r="444" ht="15.75" hidden="1" customHeight="1">
      <c r="B444" s="17" t="s">
        <v>704</v>
      </c>
      <c r="C444" s="17" t="s">
        <v>705</v>
      </c>
      <c r="D444" s="17" t="s">
        <v>24</v>
      </c>
      <c r="E444" s="17" t="s">
        <v>54</v>
      </c>
      <c r="F444" s="17" t="s">
        <v>47</v>
      </c>
      <c r="G444" s="17">
        <v>372.0</v>
      </c>
      <c r="H444" s="17">
        <v>74.4</v>
      </c>
      <c r="I444" s="17"/>
    </row>
    <row r="445" ht="15.75" hidden="1" customHeight="1">
      <c r="B445" s="19" t="s">
        <v>706</v>
      </c>
      <c r="C445" s="19" t="s">
        <v>427</v>
      </c>
      <c r="D445" s="19" t="s">
        <v>24</v>
      </c>
      <c r="E445" s="19" t="s">
        <v>18</v>
      </c>
      <c r="F445" s="19" t="s">
        <v>19</v>
      </c>
      <c r="G445" s="19">
        <v>282.0</v>
      </c>
      <c r="H445" s="19">
        <v>56.4</v>
      </c>
      <c r="I445" s="19"/>
    </row>
    <row r="446" ht="15.75" customHeight="1">
      <c r="A446" s="21"/>
      <c r="B446" s="17" t="s">
        <v>707</v>
      </c>
      <c r="C446" s="17" t="s">
        <v>408</v>
      </c>
      <c r="D446" s="17" t="s">
        <v>17</v>
      </c>
      <c r="E446" s="17" t="s">
        <v>40</v>
      </c>
      <c r="F446" s="17" t="s">
        <v>26</v>
      </c>
      <c r="G446" s="17">
        <v>419.0</v>
      </c>
      <c r="H446" s="17">
        <v>83.8</v>
      </c>
      <c r="I446" s="17"/>
    </row>
    <row r="447" ht="15.75" hidden="1" customHeight="1">
      <c r="B447" s="19" t="s">
        <v>708</v>
      </c>
      <c r="C447" s="19" t="s">
        <v>709</v>
      </c>
      <c r="D447" s="19" t="s">
        <v>17</v>
      </c>
      <c r="E447" s="19" t="s">
        <v>54</v>
      </c>
      <c r="F447" s="19" t="s">
        <v>26</v>
      </c>
      <c r="G447" s="19">
        <v>305.0</v>
      </c>
      <c r="H447" s="19">
        <v>61.0</v>
      </c>
      <c r="I447" s="19"/>
    </row>
    <row r="448" ht="15.75" hidden="1" customHeight="1">
      <c r="B448" s="17" t="s">
        <v>710</v>
      </c>
      <c r="C448" s="17" t="s">
        <v>576</v>
      </c>
      <c r="D448" s="17" t="s">
        <v>24</v>
      </c>
      <c r="E448" s="17" t="s">
        <v>40</v>
      </c>
      <c r="F448" s="17" t="s">
        <v>26</v>
      </c>
      <c r="G448" s="17">
        <v>336.0</v>
      </c>
      <c r="H448" s="17">
        <v>67.2</v>
      </c>
      <c r="I448" s="17"/>
    </row>
    <row r="449" ht="15.75" hidden="1" customHeight="1">
      <c r="B449" s="19" t="s">
        <v>711</v>
      </c>
      <c r="C449" s="19" t="s">
        <v>534</v>
      </c>
      <c r="D449" s="19" t="s">
        <v>24</v>
      </c>
      <c r="E449" s="19" t="s">
        <v>25</v>
      </c>
      <c r="F449" s="19" t="s">
        <v>26</v>
      </c>
      <c r="G449" s="19">
        <v>371.0</v>
      </c>
      <c r="H449" s="19">
        <v>74.2</v>
      </c>
      <c r="I449" s="19"/>
    </row>
    <row r="450" ht="15.75" hidden="1" customHeight="1">
      <c r="B450" s="17" t="s">
        <v>712</v>
      </c>
      <c r="C450" s="17" t="s">
        <v>311</v>
      </c>
      <c r="D450" s="17" t="s">
        <v>17</v>
      </c>
      <c r="E450" s="17" t="s">
        <v>30</v>
      </c>
      <c r="F450" s="17" t="s">
        <v>47</v>
      </c>
      <c r="G450" s="17">
        <v>301.0</v>
      </c>
      <c r="H450" s="17">
        <v>60.2</v>
      </c>
      <c r="I450" s="17"/>
    </row>
    <row r="451" ht="15.75" hidden="1" customHeight="1">
      <c r="B451" s="19" t="s">
        <v>713</v>
      </c>
      <c r="C451" s="19" t="s">
        <v>703</v>
      </c>
      <c r="D451" s="19" t="s">
        <v>24</v>
      </c>
      <c r="E451" s="19" t="s">
        <v>40</v>
      </c>
      <c r="F451" s="19" t="s">
        <v>19</v>
      </c>
      <c r="G451" s="19">
        <v>333.0</v>
      </c>
      <c r="H451" s="19">
        <v>66.6</v>
      </c>
      <c r="I451" s="19"/>
    </row>
    <row r="452" ht="15.75" hidden="1" customHeight="1">
      <c r="B452" s="17" t="s">
        <v>714</v>
      </c>
      <c r="C452" s="17" t="s">
        <v>715</v>
      </c>
      <c r="D452" s="17" t="s">
        <v>17</v>
      </c>
      <c r="E452" s="17" t="s">
        <v>18</v>
      </c>
      <c r="F452" s="17" t="s">
        <v>19</v>
      </c>
      <c r="G452" s="17">
        <v>338.0</v>
      </c>
      <c r="H452" s="17">
        <v>67.6</v>
      </c>
      <c r="I452" s="17"/>
    </row>
    <row r="453" ht="15.75" hidden="1" customHeight="1">
      <c r="B453" s="19" t="s">
        <v>716</v>
      </c>
      <c r="C453" s="19" t="s">
        <v>717</v>
      </c>
      <c r="D453" s="19" t="s">
        <v>24</v>
      </c>
      <c r="E453" s="19" t="s">
        <v>18</v>
      </c>
      <c r="F453" s="19" t="s">
        <v>26</v>
      </c>
      <c r="G453" s="19">
        <v>368.0</v>
      </c>
      <c r="H453" s="19">
        <v>73.6</v>
      </c>
      <c r="I453" s="19"/>
    </row>
    <row r="454" ht="15.75" hidden="1" customHeight="1">
      <c r="B454" s="17" t="s">
        <v>718</v>
      </c>
      <c r="C454" s="17" t="s">
        <v>429</v>
      </c>
      <c r="D454" s="17" t="s">
        <v>17</v>
      </c>
      <c r="E454" s="17" t="s">
        <v>40</v>
      </c>
      <c r="F454" s="17" t="s">
        <v>47</v>
      </c>
      <c r="G454" s="17">
        <v>309.0</v>
      </c>
      <c r="H454" s="17">
        <v>61.8</v>
      </c>
      <c r="I454" s="17"/>
    </row>
    <row r="455" ht="15.75" hidden="1" customHeight="1">
      <c r="B455" s="19" t="s">
        <v>719</v>
      </c>
      <c r="C455" s="19" t="s">
        <v>335</v>
      </c>
      <c r="D455" s="19" t="s">
        <v>17</v>
      </c>
      <c r="E455" s="19" t="s">
        <v>18</v>
      </c>
      <c r="F455" s="19" t="s">
        <v>26</v>
      </c>
      <c r="G455" s="19">
        <v>306.0</v>
      </c>
      <c r="H455" s="19">
        <v>61.2</v>
      </c>
      <c r="I455" s="19"/>
    </row>
    <row r="456" ht="15.75" hidden="1" customHeight="1">
      <c r="B456" s="17" t="s">
        <v>720</v>
      </c>
      <c r="C456" s="17" t="s">
        <v>349</v>
      </c>
      <c r="D456" s="17" t="s">
        <v>17</v>
      </c>
      <c r="E456" s="17" t="s">
        <v>25</v>
      </c>
      <c r="F456" s="17" t="s">
        <v>19</v>
      </c>
      <c r="G456" s="17">
        <v>310.0</v>
      </c>
      <c r="H456" s="17">
        <v>62.0</v>
      </c>
      <c r="I456" s="17"/>
    </row>
    <row r="457" ht="15.75" hidden="1" customHeight="1">
      <c r="B457" s="19" t="s">
        <v>721</v>
      </c>
      <c r="C457" s="19" t="s">
        <v>717</v>
      </c>
      <c r="D457" s="19" t="s">
        <v>17</v>
      </c>
      <c r="E457" s="19" t="s">
        <v>30</v>
      </c>
      <c r="F457" s="19" t="s">
        <v>47</v>
      </c>
      <c r="G457" s="19">
        <v>400.0</v>
      </c>
      <c r="H457" s="19">
        <v>80.0</v>
      </c>
      <c r="I457" s="19"/>
    </row>
    <row r="458" ht="15.75" hidden="1" customHeight="1">
      <c r="B458" s="17" t="s">
        <v>722</v>
      </c>
      <c r="C458" s="17" t="s">
        <v>495</v>
      </c>
      <c r="D458" s="17" t="s">
        <v>24</v>
      </c>
      <c r="E458" s="17" t="s">
        <v>40</v>
      </c>
      <c r="F458" s="17" t="s">
        <v>19</v>
      </c>
      <c r="G458" s="17">
        <v>371.0</v>
      </c>
      <c r="H458" s="17">
        <v>74.2</v>
      </c>
      <c r="I458" s="17"/>
    </row>
    <row r="459" ht="15.75" hidden="1" customHeight="1">
      <c r="B459" s="19" t="s">
        <v>723</v>
      </c>
      <c r="C459" s="19" t="s">
        <v>51</v>
      </c>
      <c r="D459" s="19" t="s">
        <v>17</v>
      </c>
      <c r="E459" s="19" t="s">
        <v>18</v>
      </c>
      <c r="F459" s="19" t="s">
        <v>26</v>
      </c>
      <c r="G459" s="19">
        <v>362.0</v>
      </c>
      <c r="H459" s="19">
        <v>72.4</v>
      </c>
      <c r="I459" s="19"/>
    </row>
    <row r="460" ht="15.75" hidden="1" customHeight="1">
      <c r="B460" s="17" t="s">
        <v>724</v>
      </c>
      <c r="C460" s="17" t="s">
        <v>163</v>
      </c>
      <c r="D460" s="17" t="s">
        <v>17</v>
      </c>
      <c r="E460" s="17" t="s">
        <v>54</v>
      </c>
      <c r="F460" s="17" t="s">
        <v>47</v>
      </c>
      <c r="G460" s="17">
        <v>291.0</v>
      </c>
      <c r="H460" s="17">
        <v>58.2</v>
      </c>
      <c r="I460" s="17"/>
    </row>
    <row r="461" ht="15.75" hidden="1" customHeight="1">
      <c r="B461" s="19" t="s">
        <v>725</v>
      </c>
      <c r="C461" s="19" t="s">
        <v>374</v>
      </c>
      <c r="D461" s="19" t="s">
        <v>17</v>
      </c>
      <c r="E461" s="19" t="s">
        <v>18</v>
      </c>
      <c r="F461" s="19" t="s">
        <v>47</v>
      </c>
      <c r="G461" s="19">
        <v>303.0</v>
      </c>
      <c r="H461" s="19">
        <v>60.6</v>
      </c>
      <c r="I461" s="19"/>
    </row>
    <row r="462" ht="15.75" customHeight="1">
      <c r="A462" s="21"/>
      <c r="B462" s="17" t="s">
        <v>726</v>
      </c>
      <c r="C462" s="17" t="s">
        <v>274</v>
      </c>
      <c r="D462" s="17" t="s">
        <v>17</v>
      </c>
      <c r="E462" s="17" t="s">
        <v>40</v>
      </c>
      <c r="F462" s="17" t="s">
        <v>26</v>
      </c>
      <c r="G462" s="17">
        <v>403.0</v>
      </c>
      <c r="H462" s="17">
        <v>80.6</v>
      </c>
      <c r="I462" s="17"/>
    </row>
    <row r="463" ht="15.75" hidden="1" customHeight="1">
      <c r="B463" s="6" t="s">
        <v>727</v>
      </c>
      <c r="C463" s="6" t="s">
        <v>137</v>
      </c>
      <c r="D463" s="6" t="s">
        <v>24</v>
      </c>
      <c r="E463" s="6" t="s">
        <v>25</v>
      </c>
      <c r="F463" s="6" t="s">
        <v>47</v>
      </c>
      <c r="G463" s="6">
        <v>404.0</v>
      </c>
      <c r="H463" s="6">
        <v>80.8</v>
      </c>
    </row>
    <row r="464" ht="15.75" hidden="1" customHeight="1">
      <c r="B464" s="6" t="s">
        <v>728</v>
      </c>
      <c r="C464" s="6" t="s">
        <v>91</v>
      </c>
      <c r="D464" s="6" t="s">
        <v>24</v>
      </c>
      <c r="E464" s="6" t="s">
        <v>18</v>
      </c>
      <c r="F464" s="6" t="s">
        <v>19</v>
      </c>
      <c r="G464" s="6">
        <v>347.0</v>
      </c>
      <c r="H464" s="6">
        <v>69.4</v>
      </c>
    </row>
    <row r="465" ht="15.75" hidden="1" customHeight="1">
      <c r="B465" s="6" t="s">
        <v>729</v>
      </c>
      <c r="C465" s="6" t="s">
        <v>550</v>
      </c>
      <c r="D465" s="6" t="s">
        <v>24</v>
      </c>
      <c r="E465" s="6" t="s">
        <v>54</v>
      </c>
      <c r="F465" s="6" t="s">
        <v>19</v>
      </c>
      <c r="G465" s="6">
        <v>364.0</v>
      </c>
      <c r="H465" s="6">
        <v>72.8</v>
      </c>
    </row>
    <row r="466" ht="15.75" hidden="1" customHeight="1">
      <c r="B466" s="6" t="s">
        <v>730</v>
      </c>
      <c r="C466" s="6" t="s">
        <v>731</v>
      </c>
      <c r="D466" s="6" t="s">
        <v>17</v>
      </c>
      <c r="E466" s="6" t="s">
        <v>25</v>
      </c>
      <c r="F466" s="6" t="s">
        <v>26</v>
      </c>
      <c r="G466" s="6">
        <v>313.0</v>
      </c>
      <c r="H466" s="6">
        <v>62.6</v>
      </c>
    </row>
    <row r="467" ht="15.75" hidden="1" customHeight="1">
      <c r="B467" s="6" t="s">
        <v>732</v>
      </c>
      <c r="C467" s="6" t="s">
        <v>419</v>
      </c>
      <c r="D467" s="6" t="s">
        <v>17</v>
      </c>
      <c r="E467" s="6" t="s">
        <v>40</v>
      </c>
      <c r="F467" s="6" t="s">
        <v>19</v>
      </c>
      <c r="G467" s="6">
        <v>365.0</v>
      </c>
      <c r="H467" s="6">
        <v>73.0</v>
      </c>
    </row>
    <row r="468" ht="15.75" hidden="1" customHeight="1">
      <c r="B468" s="6" t="s">
        <v>733</v>
      </c>
      <c r="C468" s="6" t="s">
        <v>233</v>
      </c>
      <c r="D468" s="6" t="s">
        <v>24</v>
      </c>
      <c r="E468" s="6" t="s">
        <v>40</v>
      </c>
      <c r="F468" s="6" t="s">
        <v>19</v>
      </c>
      <c r="G468" s="6">
        <v>287.0</v>
      </c>
      <c r="H468" s="6">
        <v>57.4</v>
      </c>
    </row>
    <row r="469" ht="15.75" hidden="1" customHeight="1">
      <c r="B469" s="6" t="s">
        <v>734</v>
      </c>
      <c r="C469" s="6" t="s">
        <v>572</v>
      </c>
      <c r="D469" s="6" t="s">
        <v>24</v>
      </c>
      <c r="E469" s="6" t="s">
        <v>18</v>
      </c>
      <c r="F469" s="6" t="s">
        <v>47</v>
      </c>
      <c r="G469" s="6">
        <v>384.0</v>
      </c>
      <c r="H469" s="6">
        <v>76.8</v>
      </c>
    </row>
    <row r="470" ht="15.75" hidden="1" customHeight="1">
      <c r="B470" s="6" t="s">
        <v>735</v>
      </c>
      <c r="C470" s="6" t="s">
        <v>523</v>
      </c>
      <c r="D470" s="6" t="s">
        <v>24</v>
      </c>
      <c r="E470" s="6" t="s">
        <v>54</v>
      </c>
      <c r="F470" s="6" t="s">
        <v>19</v>
      </c>
      <c r="G470" s="6">
        <v>387.0</v>
      </c>
      <c r="H470" s="6">
        <v>77.4</v>
      </c>
    </row>
    <row r="471" ht="15.75" hidden="1" customHeight="1">
      <c r="B471" s="6" t="s">
        <v>736</v>
      </c>
      <c r="C471" s="6" t="s">
        <v>640</v>
      </c>
      <c r="D471" s="6" t="s">
        <v>24</v>
      </c>
      <c r="E471" s="6" t="s">
        <v>54</v>
      </c>
      <c r="F471" s="6" t="s">
        <v>19</v>
      </c>
      <c r="G471" s="6">
        <v>385.0</v>
      </c>
      <c r="H471" s="6">
        <v>77.0</v>
      </c>
    </row>
    <row r="472" ht="15.75" hidden="1" customHeight="1">
      <c r="B472" s="6" t="s">
        <v>737</v>
      </c>
      <c r="C472" s="6" t="s">
        <v>502</v>
      </c>
      <c r="D472" s="6" t="s">
        <v>24</v>
      </c>
      <c r="E472" s="6" t="s">
        <v>54</v>
      </c>
      <c r="F472" s="6" t="s">
        <v>47</v>
      </c>
      <c r="G472" s="6">
        <v>415.0</v>
      </c>
      <c r="H472" s="6">
        <v>83.0</v>
      </c>
    </row>
    <row r="473" ht="15.75" hidden="1" customHeight="1">
      <c r="B473" s="6" t="s">
        <v>738</v>
      </c>
      <c r="C473" s="6" t="s">
        <v>49</v>
      </c>
      <c r="D473" s="6" t="s">
        <v>17</v>
      </c>
      <c r="E473" s="6" t="s">
        <v>30</v>
      </c>
      <c r="F473" s="6" t="s">
        <v>47</v>
      </c>
      <c r="G473" s="6">
        <v>259.0</v>
      </c>
      <c r="H473" s="6">
        <v>51.8</v>
      </c>
    </row>
    <row r="474" ht="15.75" hidden="1" customHeight="1">
      <c r="B474" s="6" t="s">
        <v>739</v>
      </c>
      <c r="C474" s="6" t="s">
        <v>297</v>
      </c>
      <c r="D474" s="6" t="s">
        <v>24</v>
      </c>
      <c r="E474" s="6" t="s">
        <v>54</v>
      </c>
      <c r="F474" s="6" t="s">
        <v>26</v>
      </c>
      <c r="G474" s="6">
        <v>332.0</v>
      </c>
      <c r="H474" s="6">
        <v>66.4</v>
      </c>
    </row>
    <row r="475" ht="15.75" hidden="1" customHeight="1">
      <c r="B475" s="6" t="s">
        <v>740</v>
      </c>
      <c r="C475" s="6" t="s">
        <v>64</v>
      </c>
      <c r="D475" s="6" t="s">
        <v>17</v>
      </c>
      <c r="E475" s="6" t="s">
        <v>25</v>
      </c>
      <c r="F475" s="6" t="s">
        <v>26</v>
      </c>
      <c r="G475" s="6">
        <v>389.0</v>
      </c>
      <c r="H475" s="6">
        <v>77.8</v>
      </c>
    </row>
    <row r="476" ht="15.75" hidden="1" customHeight="1">
      <c r="B476" s="6" t="s">
        <v>741</v>
      </c>
      <c r="C476" s="6" t="s">
        <v>123</v>
      </c>
      <c r="D476" s="6" t="s">
        <v>24</v>
      </c>
      <c r="E476" s="6" t="s">
        <v>54</v>
      </c>
      <c r="F476" s="6" t="s">
        <v>47</v>
      </c>
      <c r="G476" s="6">
        <v>423.0</v>
      </c>
      <c r="H476" s="6">
        <v>84.6</v>
      </c>
    </row>
    <row r="477" ht="15.75" hidden="1" customHeight="1">
      <c r="B477" s="6" t="s">
        <v>742</v>
      </c>
      <c r="C477" s="6" t="s">
        <v>743</v>
      </c>
      <c r="D477" s="6" t="s">
        <v>17</v>
      </c>
      <c r="E477" s="6" t="s">
        <v>40</v>
      </c>
      <c r="F477" s="6" t="s">
        <v>47</v>
      </c>
      <c r="G477" s="6">
        <v>351.0</v>
      </c>
      <c r="H477" s="6">
        <v>70.2</v>
      </c>
    </row>
    <row r="478" ht="15.75" hidden="1" customHeight="1">
      <c r="B478" s="6" t="s">
        <v>744</v>
      </c>
      <c r="C478" s="6" t="s">
        <v>743</v>
      </c>
      <c r="D478" s="6" t="s">
        <v>17</v>
      </c>
      <c r="E478" s="6" t="s">
        <v>30</v>
      </c>
      <c r="F478" s="6" t="s">
        <v>19</v>
      </c>
      <c r="G478" s="6">
        <v>323.0</v>
      </c>
      <c r="H478" s="6">
        <v>64.6</v>
      </c>
    </row>
    <row r="479" ht="15.75" hidden="1" customHeight="1">
      <c r="B479" s="6" t="s">
        <v>745</v>
      </c>
      <c r="C479" s="6" t="s">
        <v>526</v>
      </c>
      <c r="D479" s="6" t="s">
        <v>24</v>
      </c>
      <c r="E479" s="6" t="s">
        <v>18</v>
      </c>
      <c r="F479" s="6" t="s">
        <v>19</v>
      </c>
      <c r="G479" s="6">
        <v>310.0</v>
      </c>
      <c r="H479" s="6">
        <v>62.0</v>
      </c>
    </row>
    <row r="480" ht="15.75" hidden="1" customHeight="1">
      <c r="B480" s="6" t="s">
        <v>746</v>
      </c>
      <c r="C480" s="6" t="s">
        <v>204</v>
      </c>
      <c r="D480" s="6" t="s">
        <v>17</v>
      </c>
      <c r="E480" s="6" t="s">
        <v>25</v>
      </c>
      <c r="F480" s="6" t="s">
        <v>47</v>
      </c>
      <c r="G480" s="6">
        <v>370.0</v>
      </c>
      <c r="H480" s="6">
        <v>74.0</v>
      </c>
    </row>
    <row r="481" ht="15.75" hidden="1" customHeight="1">
      <c r="B481" s="6" t="s">
        <v>747</v>
      </c>
      <c r="C481" s="6" t="s">
        <v>183</v>
      </c>
      <c r="D481" s="6" t="s">
        <v>17</v>
      </c>
      <c r="E481" s="6" t="s">
        <v>40</v>
      </c>
      <c r="F481" s="6" t="s">
        <v>19</v>
      </c>
      <c r="G481" s="6">
        <v>341.0</v>
      </c>
      <c r="H481" s="6">
        <v>68.2</v>
      </c>
    </row>
    <row r="482" ht="15.75" hidden="1" customHeight="1">
      <c r="B482" s="6" t="s">
        <v>748</v>
      </c>
      <c r="C482" s="6" t="s">
        <v>749</v>
      </c>
      <c r="D482" s="6" t="s">
        <v>17</v>
      </c>
      <c r="E482" s="6" t="s">
        <v>54</v>
      </c>
      <c r="F482" s="6" t="s">
        <v>19</v>
      </c>
      <c r="G482" s="6">
        <v>401.0</v>
      </c>
      <c r="H482" s="6">
        <v>80.2</v>
      </c>
    </row>
    <row r="483" ht="15.75" hidden="1" customHeight="1">
      <c r="B483" s="6" t="s">
        <v>750</v>
      </c>
      <c r="C483" s="6" t="s">
        <v>139</v>
      </c>
      <c r="D483" s="6" t="s">
        <v>17</v>
      </c>
      <c r="E483" s="6" t="s">
        <v>40</v>
      </c>
      <c r="F483" s="6" t="s">
        <v>26</v>
      </c>
      <c r="G483" s="6">
        <v>390.0</v>
      </c>
      <c r="H483" s="6">
        <v>78.0</v>
      </c>
    </row>
    <row r="484" ht="15.75" hidden="1" customHeight="1">
      <c r="B484" s="6" t="s">
        <v>751</v>
      </c>
      <c r="C484" s="6" t="s">
        <v>440</v>
      </c>
      <c r="D484" s="6" t="s">
        <v>24</v>
      </c>
      <c r="E484" s="6" t="s">
        <v>54</v>
      </c>
      <c r="F484" s="6" t="s">
        <v>19</v>
      </c>
      <c r="G484" s="6">
        <v>403.0</v>
      </c>
      <c r="H484" s="6">
        <v>80.6</v>
      </c>
    </row>
    <row r="485" ht="15.75" hidden="1" customHeight="1">
      <c r="B485" s="6" t="s">
        <v>752</v>
      </c>
      <c r="C485" s="6" t="s">
        <v>623</v>
      </c>
      <c r="D485" s="6" t="s">
        <v>17</v>
      </c>
      <c r="E485" s="6" t="s">
        <v>30</v>
      </c>
      <c r="F485" s="6" t="s">
        <v>47</v>
      </c>
      <c r="G485" s="6">
        <v>375.0</v>
      </c>
      <c r="H485" s="6">
        <v>75.0</v>
      </c>
    </row>
    <row r="486" ht="15.75" hidden="1" customHeight="1">
      <c r="B486" s="6" t="s">
        <v>753</v>
      </c>
      <c r="C486" s="6" t="s">
        <v>754</v>
      </c>
      <c r="D486" s="6" t="s">
        <v>17</v>
      </c>
      <c r="E486" s="6" t="s">
        <v>54</v>
      </c>
      <c r="F486" s="6" t="s">
        <v>26</v>
      </c>
      <c r="G486" s="6">
        <v>270.0</v>
      </c>
      <c r="H486" s="6">
        <v>54.0</v>
      </c>
    </row>
    <row r="487" ht="15.75" hidden="1" customHeight="1">
      <c r="B487" s="6" t="s">
        <v>755</v>
      </c>
      <c r="C487" s="6" t="s">
        <v>550</v>
      </c>
      <c r="D487" s="6" t="s">
        <v>24</v>
      </c>
      <c r="E487" s="6" t="s">
        <v>40</v>
      </c>
      <c r="F487" s="6" t="s">
        <v>19</v>
      </c>
      <c r="G487" s="6">
        <v>362.0</v>
      </c>
      <c r="H487" s="6">
        <v>72.4</v>
      </c>
    </row>
    <row r="488" ht="15.75" hidden="1" customHeight="1">
      <c r="B488" s="6" t="s">
        <v>756</v>
      </c>
      <c r="C488" s="6" t="s">
        <v>459</v>
      </c>
      <c r="D488" s="6" t="s">
        <v>17</v>
      </c>
      <c r="E488" s="6" t="s">
        <v>18</v>
      </c>
      <c r="F488" s="6" t="s">
        <v>19</v>
      </c>
      <c r="G488" s="6">
        <v>401.0</v>
      </c>
      <c r="H488" s="6">
        <v>80.2</v>
      </c>
    </row>
    <row r="489" ht="15.75" hidden="1" customHeight="1">
      <c r="B489" s="6" t="s">
        <v>757</v>
      </c>
      <c r="C489" s="6" t="s">
        <v>295</v>
      </c>
      <c r="D489" s="6" t="s">
        <v>17</v>
      </c>
      <c r="E489" s="6" t="s">
        <v>30</v>
      </c>
      <c r="F489" s="6" t="s">
        <v>19</v>
      </c>
      <c r="G489" s="6">
        <v>285.0</v>
      </c>
      <c r="H489" s="6">
        <v>57.0</v>
      </c>
    </row>
    <row r="490" ht="15.75" hidden="1" customHeight="1">
      <c r="B490" s="6" t="s">
        <v>758</v>
      </c>
      <c r="C490" s="6" t="s">
        <v>586</v>
      </c>
      <c r="D490" s="6" t="s">
        <v>17</v>
      </c>
      <c r="E490" s="6" t="s">
        <v>18</v>
      </c>
      <c r="F490" s="6" t="s">
        <v>47</v>
      </c>
      <c r="G490" s="6">
        <v>361.0</v>
      </c>
      <c r="H490" s="6">
        <v>72.2</v>
      </c>
    </row>
    <row r="491" ht="15.75" hidden="1" customHeight="1">
      <c r="B491" s="6" t="s">
        <v>759</v>
      </c>
      <c r="C491" s="6" t="s">
        <v>760</v>
      </c>
      <c r="D491" s="6" t="s">
        <v>17</v>
      </c>
      <c r="E491" s="6" t="s">
        <v>54</v>
      </c>
      <c r="F491" s="6" t="s">
        <v>47</v>
      </c>
      <c r="G491" s="6">
        <v>313.0</v>
      </c>
      <c r="H491" s="6">
        <v>62.6</v>
      </c>
    </row>
    <row r="492" ht="15.75" hidden="1" customHeight="1">
      <c r="B492" s="6" t="s">
        <v>761</v>
      </c>
      <c r="C492" s="6" t="s">
        <v>115</v>
      </c>
      <c r="D492" s="6" t="s">
        <v>17</v>
      </c>
      <c r="E492" s="6" t="s">
        <v>18</v>
      </c>
      <c r="F492" s="6" t="s">
        <v>47</v>
      </c>
      <c r="G492" s="6">
        <v>364.0</v>
      </c>
      <c r="H492" s="6">
        <v>72.8</v>
      </c>
    </row>
    <row r="493" ht="15.75" hidden="1" customHeight="1">
      <c r="B493" s="6" t="s">
        <v>762</v>
      </c>
      <c r="C493" s="6" t="s">
        <v>638</v>
      </c>
      <c r="D493" s="6" t="s">
        <v>24</v>
      </c>
      <c r="E493" s="6" t="s">
        <v>25</v>
      </c>
      <c r="F493" s="6" t="s">
        <v>19</v>
      </c>
      <c r="G493" s="6">
        <v>377.0</v>
      </c>
      <c r="H493" s="6">
        <v>75.4</v>
      </c>
    </row>
    <row r="494" ht="15.75" hidden="1" customHeight="1">
      <c r="B494" s="6" t="s">
        <v>763</v>
      </c>
      <c r="C494" s="6" t="s">
        <v>576</v>
      </c>
      <c r="D494" s="6" t="s">
        <v>24</v>
      </c>
      <c r="E494" s="6" t="s">
        <v>18</v>
      </c>
      <c r="F494" s="6" t="s">
        <v>47</v>
      </c>
      <c r="G494" s="6">
        <v>262.0</v>
      </c>
      <c r="H494" s="6">
        <v>52.4</v>
      </c>
    </row>
    <row r="495" ht="15.75" hidden="1" customHeight="1">
      <c r="B495" s="6" t="s">
        <v>764</v>
      </c>
      <c r="C495" s="6" t="s">
        <v>765</v>
      </c>
      <c r="D495" s="6" t="s">
        <v>24</v>
      </c>
      <c r="E495" s="6" t="s">
        <v>40</v>
      </c>
      <c r="F495" s="6" t="s">
        <v>19</v>
      </c>
      <c r="G495" s="6">
        <v>369.0</v>
      </c>
      <c r="H495" s="6">
        <v>73.8</v>
      </c>
    </row>
    <row r="496" ht="15.75" hidden="1" customHeight="1">
      <c r="B496" s="6" t="s">
        <v>766</v>
      </c>
      <c r="C496" s="6" t="s">
        <v>121</v>
      </c>
      <c r="D496" s="6" t="s">
        <v>24</v>
      </c>
      <c r="E496" s="6" t="s">
        <v>40</v>
      </c>
      <c r="F496" s="6" t="s">
        <v>47</v>
      </c>
      <c r="G496" s="6">
        <v>374.0</v>
      </c>
      <c r="H496" s="6">
        <v>74.8</v>
      </c>
    </row>
    <row r="497" ht="15.75" hidden="1" customHeight="1">
      <c r="B497" s="6" t="s">
        <v>767</v>
      </c>
      <c r="C497" s="6" t="s">
        <v>364</v>
      </c>
      <c r="D497" s="6" t="s">
        <v>24</v>
      </c>
      <c r="E497" s="6" t="s">
        <v>25</v>
      </c>
      <c r="F497" s="6" t="s">
        <v>19</v>
      </c>
      <c r="G497" s="6">
        <v>371.0</v>
      </c>
      <c r="H497" s="6">
        <v>74.2</v>
      </c>
    </row>
    <row r="498" ht="15.75" hidden="1" customHeight="1">
      <c r="B498" s="6" t="s">
        <v>768</v>
      </c>
      <c r="C498" s="6" t="s">
        <v>263</v>
      </c>
      <c r="D498" s="6" t="s">
        <v>24</v>
      </c>
      <c r="E498" s="6" t="s">
        <v>54</v>
      </c>
      <c r="F498" s="6" t="s">
        <v>47</v>
      </c>
      <c r="G498" s="6">
        <v>366.0</v>
      </c>
      <c r="H498" s="6">
        <v>73.2</v>
      </c>
    </row>
    <row r="499" ht="15.75" hidden="1" customHeight="1">
      <c r="B499" s="6" t="s">
        <v>769</v>
      </c>
      <c r="C499" s="6" t="s">
        <v>488</v>
      </c>
      <c r="D499" s="6" t="s">
        <v>24</v>
      </c>
      <c r="E499" s="6" t="s">
        <v>40</v>
      </c>
      <c r="F499" s="6" t="s">
        <v>19</v>
      </c>
      <c r="G499" s="6">
        <v>402.0</v>
      </c>
      <c r="H499" s="6">
        <v>80.4</v>
      </c>
    </row>
    <row r="500" ht="15.75" hidden="1" customHeight="1">
      <c r="B500" s="6" t="s">
        <v>770</v>
      </c>
      <c r="C500" s="6" t="s">
        <v>295</v>
      </c>
      <c r="D500" s="6" t="s">
        <v>17</v>
      </c>
      <c r="E500" s="6" t="s">
        <v>18</v>
      </c>
      <c r="F500" s="6" t="s">
        <v>19</v>
      </c>
      <c r="G500" s="6">
        <v>346.0</v>
      </c>
      <c r="H500" s="6">
        <v>69.2</v>
      </c>
    </row>
    <row r="501" ht="15.75" hidden="1" customHeight="1">
      <c r="B501" s="6" t="s">
        <v>771</v>
      </c>
      <c r="C501" s="6" t="s">
        <v>16</v>
      </c>
      <c r="D501" s="6" t="s">
        <v>17</v>
      </c>
      <c r="E501" s="6" t="s">
        <v>25</v>
      </c>
      <c r="F501" s="6" t="s">
        <v>19</v>
      </c>
      <c r="G501" s="6">
        <v>306.0</v>
      </c>
      <c r="H501" s="6">
        <v>61.2</v>
      </c>
    </row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customHeight="1">
      <c r="A1001" s="21"/>
    </row>
    <row r="1002" ht="15.75" customHeight="1">
      <c r="A1002" s="22" t="s">
        <v>799</v>
      </c>
      <c r="B1002" s="23" t="s">
        <v>3</v>
      </c>
      <c r="C1002" s="6" t="s">
        <v>800</v>
      </c>
    </row>
    <row r="1003" ht="15.75" customHeight="1">
      <c r="A1003" s="21"/>
      <c r="B1003" s="6"/>
      <c r="C1003" s="6" t="e">
        <v>#DIV/0!</v>
      </c>
    </row>
    <row r="1004" ht="15.75" customHeight="1">
      <c r="A1004" s="21"/>
      <c r="B1004" s="6" t="s">
        <v>18</v>
      </c>
      <c r="C1004" s="6">
        <v>69.95700934579439</v>
      </c>
    </row>
    <row r="1005" ht="15.75" customHeight="1">
      <c r="A1005" s="21"/>
      <c r="B1005" s="6" t="s">
        <v>54</v>
      </c>
      <c r="C1005" s="6">
        <v>70.67755102040815</v>
      </c>
    </row>
    <row r="1006" ht="15.75" customHeight="1">
      <c r="A1006" s="21"/>
      <c r="B1006" s="6" t="s">
        <v>25</v>
      </c>
      <c r="C1006" s="6">
        <v>69.58878504672896</v>
      </c>
    </row>
    <row r="1007" ht="15.75" customHeight="1">
      <c r="A1007" s="21"/>
      <c r="B1007" s="6" t="s">
        <v>30</v>
      </c>
      <c r="C1007" s="6">
        <v>67.45909090909093</v>
      </c>
    </row>
    <row r="1008" ht="15.75" customHeight="1">
      <c r="A1008" s="21"/>
      <c r="B1008" s="6" t="s">
        <v>40</v>
      </c>
      <c r="C1008" s="6">
        <v>70.59599999999996</v>
      </c>
    </row>
    <row r="1009" ht="15.75" customHeight="1">
      <c r="A1009" s="21"/>
      <c r="B1009" s="6" t="s">
        <v>775</v>
      </c>
      <c r="C1009" s="6">
        <v>69.70759999999999</v>
      </c>
    </row>
    <row r="1010" ht="15.75" customHeight="1">
      <c r="A1010" s="21"/>
    </row>
    <row r="1011" ht="15.75" customHeight="1">
      <c r="A1011" s="24" t="s">
        <v>801</v>
      </c>
      <c r="B1011" s="6" t="s">
        <v>5</v>
      </c>
      <c r="C1011" s="6" t="s">
        <v>774</v>
      </c>
    </row>
    <row r="1012" ht="15.75" customHeight="1">
      <c r="A1012" s="21"/>
      <c r="B1012" s="6"/>
      <c r="C1012" s="6">
        <v>0.0</v>
      </c>
    </row>
    <row r="1013" ht="15.75" customHeight="1">
      <c r="A1013" s="21"/>
      <c r="B1013" s="6" t="s">
        <v>44</v>
      </c>
      <c r="C1013" s="6">
        <v>64.0</v>
      </c>
    </row>
    <row r="1014" ht="15.75" customHeight="1">
      <c r="A1014" s="21"/>
      <c r="B1014" s="6" t="s">
        <v>20</v>
      </c>
      <c r="C1014" s="6">
        <v>69.0</v>
      </c>
    </row>
    <row r="1015" ht="15.75" customHeight="1">
      <c r="A1015" s="21"/>
      <c r="B1015" s="6" t="s">
        <v>37</v>
      </c>
      <c r="C1015" s="6">
        <v>55.0</v>
      </c>
    </row>
    <row r="1016" ht="15.75" customHeight="1">
      <c r="A1016" s="21"/>
      <c r="B1016" s="6" t="s">
        <v>55</v>
      </c>
      <c r="C1016" s="6">
        <v>66.0</v>
      </c>
    </row>
    <row r="1017" ht="15.75" customHeight="1">
      <c r="A1017" s="21"/>
      <c r="B1017" s="6" t="s">
        <v>27</v>
      </c>
      <c r="C1017" s="6">
        <v>64.0</v>
      </c>
    </row>
    <row r="1018" ht="15.75" customHeight="1">
      <c r="A1018" s="21"/>
      <c r="B1018" s="6" t="s">
        <v>41</v>
      </c>
      <c r="C1018" s="6">
        <v>65.0</v>
      </c>
    </row>
    <row r="1019" ht="15.75" customHeight="1">
      <c r="A1019" s="21"/>
      <c r="B1019" s="6" t="s">
        <v>77</v>
      </c>
      <c r="C1019" s="6">
        <v>64.0</v>
      </c>
    </row>
    <row r="1020" ht="15.75" customHeight="1">
      <c r="A1020" s="21"/>
      <c r="B1020" s="6" t="s">
        <v>62</v>
      </c>
      <c r="C1020" s="6">
        <v>53.0</v>
      </c>
    </row>
    <row r="1021" ht="15.75" customHeight="1">
      <c r="A1021" s="21"/>
      <c r="B1021" s="6" t="s">
        <v>775</v>
      </c>
      <c r="C1021" s="6">
        <v>500.0</v>
      </c>
    </row>
    <row r="1022" ht="15.75" customHeight="1">
      <c r="A1022" s="21"/>
    </row>
    <row r="1023" ht="15.75" customHeight="1">
      <c r="A1023" s="24" t="s">
        <v>802</v>
      </c>
      <c r="B1023" s="25">
        <f t="array" ref="B1023">COUNTA(UNIQUE(Student_Data!F2:F501))</f>
        <v>8</v>
      </c>
    </row>
    <row r="1024" ht="15.75" customHeight="1">
      <c r="A1024" s="21"/>
    </row>
    <row r="1025" ht="15.75" customHeight="1">
      <c r="A1025" s="24" t="s">
        <v>803</v>
      </c>
      <c r="B1025" s="25">
        <f>COUNTBLANK(Student_Data!A2:O501)</f>
        <v>0</v>
      </c>
    </row>
    <row r="1026" ht="15.75" customHeight="1">
      <c r="A1026" s="21"/>
    </row>
    <row r="1027" ht="15.75" customHeight="1">
      <c r="A1027" s="24" t="s">
        <v>804</v>
      </c>
      <c r="B1027" s="9" t="s">
        <v>14</v>
      </c>
      <c r="C1027" s="9" t="s">
        <v>774</v>
      </c>
      <c r="D1027" s="9"/>
    </row>
    <row r="1028" ht="15.75" customHeight="1">
      <c r="A1028" s="21"/>
      <c r="B1028" s="9"/>
      <c r="C1028" s="9">
        <v>0.0</v>
      </c>
      <c r="D1028" s="9"/>
    </row>
    <row r="1029" ht="15.75" customHeight="1">
      <c r="A1029" s="21"/>
      <c r="B1029" s="9" t="s">
        <v>652</v>
      </c>
      <c r="C1029" s="9">
        <v>1.0</v>
      </c>
      <c r="D1029" s="9"/>
    </row>
    <row r="1030" ht="15.75" customHeight="1">
      <c r="A1030" s="21"/>
      <c r="B1030" s="9" t="s">
        <v>21</v>
      </c>
      <c r="C1030" s="9">
        <v>499.0</v>
      </c>
      <c r="D1030" s="9"/>
    </row>
    <row r="1031" ht="15.75" customHeight="1">
      <c r="A1031" s="21"/>
      <c r="B1031" s="9" t="s">
        <v>775</v>
      </c>
      <c r="C1031" s="9">
        <v>500.0</v>
      </c>
      <c r="D1031" s="9"/>
    </row>
    <row r="1032" ht="15.75" customHeight="1">
      <c r="A1032" s="21"/>
    </row>
    <row r="1033" ht="15.75" customHeight="1">
      <c r="A1033" s="21"/>
    </row>
    <row r="1034" ht="15.75" customHeight="1">
      <c r="A1034" s="21"/>
    </row>
    <row r="1035" ht="15.75" customHeight="1">
      <c r="A1035" s="21"/>
    </row>
    <row r="1036" ht="15.75" customHeight="1">
      <c r="A1036" s="21"/>
    </row>
    <row r="1037" ht="15.75" customHeight="1">
      <c r="A1037" s="21"/>
    </row>
    <row r="1038" ht="15.75" customHeight="1">
      <c r="A1038" s="21"/>
    </row>
    <row r="1039" ht="15.75" customHeight="1">
      <c r="A1039" s="21"/>
    </row>
    <row r="1040" ht="15.75" customHeight="1">
      <c r="A1040" s="21"/>
    </row>
    <row r="1041" ht="15.75" customHeight="1">
      <c r="A1041" s="21"/>
    </row>
    <row r="1042" ht="15.75" customHeight="1">
      <c r="A1042" s="21"/>
    </row>
    <row r="1043" ht="15.75" customHeight="1">
      <c r="A1043" s="21"/>
    </row>
    <row r="1044" ht="15.75" customHeight="1">
      <c r="A1044" s="21"/>
    </row>
    <row r="1045" ht="15.75" customHeight="1">
      <c r="A1045" s="21"/>
    </row>
    <row r="1046" ht="15.75" customHeight="1">
      <c r="A1046" s="21"/>
    </row>
    <row r="1047" ht="15.75" customHeight="1">
      <c r="A1047" s="21"/>
    </row>
    <row r="1048" ht="15.75" customHeight="1">
      <c r="A1048" s="21"/>
    </row>
    <row r="1049" ht="15.75" customHeight="1">
      <c r="A1049" s="21"/>
    </row>
    <row r="1050" ht="15.75" customHeight="1">
      <c r="A1050" s="21"/>
    </row>
    <row r="1051" ht="15.75" customHeight="1">
      <c r="A1051" s="21"/>
    </row>
    <row r="1052" ht="15.75" customHeight="1">
      <c r="A1052" s="21"/>
    </row>
    <row r="1053" ht="15.75" customHeight="1">
      <c r="A1053" s="21"/>
    </row>
    <row r="1054" ht="15.75" customHeight="1">
      <c r="A1054" s="21"/>
    </row>
    <row r="1055" ht="15.75" customHeight="1">
      <c r="A1055" s="21"/>
    </row>
    <row r="1056" ht="15.75" customHeight="1">
      <c r="A1056" s="21"/>
    </row>
    <row r="1057" ht="15.75" customHeight="1">
      <c r="A1057" s="21"/>
    </row>
    <row r="1058" ht="15.75" customHeight="1">
      <c r="A1058" s="21"/>
    </row>
    <row r="1059" ht="15.75" customHeight="1">
      <c r="A1059" s="21"/>
    </row>
    <row r="1060" ht="15.75" customHeight="1">
      <c r="A1060" s="21"/>
    </row>
    <row r="1061" ht="15.75" customHeight="1">
      <c r="A1061" s="21"/>
    </row>
    <row r="1062" ht="15.75" customHeight="1">
      <c r="A1062" s="21"/>
    </row>
    <row r="1063" ht="15.75" customHeight="1">
      <c r="A1063" s="21"/>
    </row>
    <row r="1064" ht="15.75" customHeight="1">
      <c r="A1064" s="21"/>
    </row>
    <row r="1065" ht="15.75" customHeight="1">
      <c r="A1065" s="21"/>
    </row>
    <row r="1066" ht="15.75" customHeight="1">
      <c r="A1066" s="21"/>
    </row>
    <row r="1067" ht="15.75" customHeight="1">
      <c r="A1067" s="21"/>
    </row>
    <row r="1068" ht="15.75" customHeight="1">
      <c r="A1068" s="21"/>
    </row>
    <row r="1069" ht="15.75" customHeight="1">
      <c r="A1069" s="21"/>
    </row>
    <row r="1070" ht="15.75" customHeight="1">
      <c r="A1070" s="21"/>
    </row>
    <row r="1071" ht="15.75" customHeight="1">
      <c r="A1071" s="21"/>
    </row>
    <row r="1072" ht="15.75" customHeight="1">
      <c r="A1072" s="21"/>
    </row>
    <row r="1073" ht="15.75" customHeight="1">
      <c r="A1073" s="21"/>
    </row>
    <row r="1074" ht="15.75" customHeight="1">
      <c r="A1074" s="21"/>
    </row>
    <row r="1075" ht="15.75" customHeight="1">
      <c r="A1075" s="21"/>
    </row>
    <row r="1076" ht="15.75" customHeight="1">
      <c r="A1076" s="21"/>
    </row>
    <row r="1077" ht="15.75" customHeight="1">
      <c r="A1077" s="21"/>
    </row>
    <row r="1078" ht="15.75" customHeight="1">
      <c r="A1078" s="21"/>
    </row>
    <row r="1079" ht="15.75" customHeight="1">
      <c r="A1079" s="21"/>
    </row>
    <row r="1080" ht="15.75" customHeight="1">
      <c r="A1080" s="21"/>
    </row>
    <row r="1081" ht="15.75" customHeight="1">
      <c r="A1081" s="21"/>
    </row>
    <row r="1082" ht="15.75" customHeight="1">
      <c r="A1082" s="21"/>
    </row>
    <row r="1083" ht="15.75" customHeight="1">
      <c r="A1083" s="21"/>
    </row>
    <row r="1084" ht="15.75" customHeight="1">
      <c r="A1084" s="21"/>
    </row>
    <row r="1085" ht="15.75" customHeight="1">
      <c r="A1085" s="21"/>
    </row>
    <row r="1086" ht="15.75" customHeight="1">
      <c r="A1086" s="21"/>
    </row>
    <row r="1087" ht="15.75" customHeight="1">
      <c r="A1087" s="21"/>
    </row>
    <row r="1088" ht="15.75" customHeight="1">
      <c r="A1088" s="21"/>
    </row>
    <row r="1089" ht="15.75" customHeight="1">
      <c r="A1089" s="21"/>
    </row>
    <row r="1090" ht="15.75" customHeight="1">
      <c r="A1090" s="21"/>
    </row>
    <row r="1091" ht="15.75" customHeight="1">
      <c r="A1091" s="21"/>
    </row>
    <row r="1092" ht="15.75" customHeight="1">
      <c r="A1092" s="21"/>
    </row>
    <row r="1093" ht="15.75" customHeight="1">
      <c r="A1093" s="21"/>
    </row>
    <row r="1094" ht="15.75" customHeight="1">
      <c r="A1094" s="21"/>
    </row>
    <row r="1095" ht="15.75" customHeight="1">
      <c r="A1095" s="21"/>
    </row>
    <row r="1096" ht="15.75" customHeight="1">
      <c r="A1096" s="21"/>
    </row>
    <row r="1097" ht="15.75" customHeight="1">
      <c r="A1097" s="21"/>
    </row>
    <row r="1098" ht="15.75" customHeight="1">
      <c r="A1098" s="21"/>
    </row>
    <row r="1099" ht="15.75" customHeight="1">
      <c r="A1099" s="21"/>
    </row>
    <row r="1100" ht="15.75" customHeight="1">
      <c r="A1100" s="21"/>
    </row>
    <row r="1101" ht="15.75" customHeight="1">
      <c r="A1101" s="21"/>
    </row>
    <row r="1102" ht="15.75" customHeight="1">
      <c r="A1102" s="21"/>
    </row>
    <row r="1103" ht="15.75" customHeight="1">
      <c r="A1103" s="21"/>
    </row>
    <row r="1104" ht="15.75" customHeight="1">
      <c r="A1104" s="21"/>
    </row>
    <row r="1105" ht="15.75" customHeight="1">
      <c r="A1105" s="21"/>
    </row>
    <row r="1106" ht="15.75" customHeight="1">
      <c r="A1106" s="21"/>
    </row>
    <row r="1107" ht="15.75" customHeight="1">
      <c r="A1107" s="21"/>
    </row>
    <row r="1108" ht="15.75" customHeight="1">
      <c r="A1108" s="21"/>
    </row>
    <row r="1109" ht="15.75" customHeight="1">
      <c r="A1109" s="21"/>
    </row>
    <row r="1110" ht="15.75" customHeight="1">
      <c r="A1110" s="21"/>
    </row>
    <row r="1111" ht="15.75" customHeight="1">
      <c r="A1111" s="21"/>
    </row>
    <row r="1112" ht="15.75" customHeight="1">
      <c r="A1112" s="21"/>
    </row>
    <row r="1113" ht="15.75" customHeight="1">
      <c r="A1113" s="21"/>
    </row>
    <row r="1114" ht="15.75" customHeight="1">
      <c r="A1114" s="21"/>
    </row>
    <row r="1115" ht="15.75" customHeight="1">
      <c r="A1115" s="21"/>
    </row>
    <row r="1116" ht="15.75" customHeight="1">
      <c r="A1116" s="21"/>
    </row>
    <row r="1117" ht="15.75" customHeight="1">
      <c r="A1117" s="21"/>
    </row>
    <row r="1118" ht="15.75" customHeight="1">
      <c r="A1118" s="21"/>
    </row>
    <row r="1119" ht="15.75" customHeight="1">
      <c r="A1119" s="21"/>
    </row>
    <row r="1120" ht="15.75" customHeight="1">
      <c r="A1120" s="21"/>
    </row>
    <row r="1121" ht="15.75" customHeight="1">
      <c r="A1121" s="21"/>
    </row>
    <row r="1122" ht="15.75" customHeight="1">
      <c r="A1122" s="21"/>
    </row>
    <row r="1123" ht="15.75" customHeight="1">
      <c r="A1123" s="21"/>
    </row>
    <row r="1124" ht="15.75" customHeight="1">
      <c r="A1124" s="21"/>
    </row>
    <row r="1125" ht="15.75" customHeight="1">
      <c r="A1125" s="21"/>
    </row>
    <row r="1126" ht="15.75" customHeight="1">
      <c r="A1126" s="21"/>
    </row>
    <row r="1127" ht="15.75" customHeight="1">
      <c r="A1127" s="21"/>
    </row>
    <row r="1128" ht="15.75" customHeight="1">
      <c r="A1128" s="21"/>
    </row>
    <row r="1129" ht="15.75" customHeight="1">
      <c r="A1129" s="21"/>
    </row>
    <row r="1130" ht="15.75" customHeight="1">
      <c r="A1130" s="21"/>
    </row>
    <row r="1131" ht="15.75" customHeight="1">
      <c r="A1131" s="21"/>
    </row>
    <row r="1132" ht="15.75" customHeight="1">
      <c r="A1132" s="21"/>
    </row>
    <row r="1133" ht="15.75" customHeight="1">
      <c r="A1133" s="21"/>
    </row>
    <row r="1134" ht="15.75" customHeight="1">
      <c r="A1134" s="21"/>
    </row>
    <row r="1135" ht="15.75" customHeight="1">
      <c r="A1135" s="21"/>
    </row>
    <row r="1136" ht="15.75" customHeight="1">
      <c r="A1136" s="21"/>
    </row>
    <row r="1137" ht="15.75" customHeight="1">
      <c r="A1137" s="21"/>
    </row>
    <row r="1138" ht="15.75" customHeight="1">
      <c r="A1138" s="21"/>
    </row>
    <row r="1139" ht="15.75" customHeight="1">
      <c r="A1139" s="21"/>
    </row>
    <row r="1140" ht="15.75" customHeight="1">
      <c r="A1140" s="21"/>
    </row>
    <row r="1141" ht="15.75" customHeight="1">
      <c r="A1141" s="21"/>
    </row>
    <row r="1142" ht="15.75" customHeight="1">
      <c r="A1142" s="21"/>
    </row>
    <row r="1143" ht="15.75" customHeight="1">
      <c r="A1143" s="21"/>
    </row>
    <row r="1144" ht="15.75" customHeight="1">
      <c r="A1144" s="21"/>
    </row>
    <row r="1145" ht="15.75" customHeight="1">
      <c r="A1145" s="21"/>
    </row>
    <row r="1146" ht="15.75" customHeight="1">
      <c r="A1146" s="21"/>
    </row>
    <row r="1147" ht="15.75" customHeight="1">
      <c r="A1147" s="21"/>
    </row>
    <row r="1148" ht="15.75" customHeight="1">
      <c r="A1148" s="21"/>
    </row>
    <row r="1149" ht="15.75" customHeight="1">
      <c r="A1149" s="21"/>
    </row>
    <row r="1150" ht="15.75" customHeight="1">
      <c r="A1150" s="21"/>
    </row>
    <row r="1151" ht="15.75" customHeight="1">
      <c r="A1151" s="21"/>
    </row>
    <row r="1152" ht="15.75" customHeight="1">
      <c r="A1152" s="21"/>
    </row>
    <row r="1153" ht="15.75" customHeight="1">
      <c r="A1153" s="21"/>
    </row>
    <row r="1154" ht="15.75" customHeight="1">
      <c r="A1154" s="21"/>
    </row>
    <row r="1155" ht="15.75" customHeight="1">
      <c r="A1155" s="21"/>
    </row>
    <row r="1156" ht="15.75" customHeight="1">
      <c r="A1156" s="21"/>
    </row>
    <row r="1157" ht="15.75" customHeight="1">
      <c r="A1157" s="21"/>
    </row>
    <row r="1158" ht="15.75" customHeight="1">
      <c r="A1158" s="21"/>
    </row>
    <row r="1159" ht="15.75" customHeight="1">
      <c r="A1159" s="21"/>
    </row>
    <row r="1160" ht="15.75" customHeight="1">
      <c r="A1160" s="21"/>
    </row>
    <row r="1161" ht="15.75" customHeight="1">
      <c r="A1161" s="21"/>
    </row>
    <row r="1162" ht="15.75" customHeight="1">
      <c r="A1162" s="21"/>
    </row>
    <row r="1163" ht="15.75" customHeight="1">
      <c r="A1163" s="21"/>
    </row>
    <row r="1164" ht="15.75" customHeight="1">
      <c r="A1164" s="21"/>
    </row>
    <row r="1165" ht="15.75" customHeight="1">
      <c r="A1165" s="21"/>
    </row>
    <row r="1166" ht="15.75" customHeight="1">
      <c r="A1166" s="21"/>
    </row>
    <row r="1167" ht="15.75" customHeight="1">
      <c r="A1167" s="21"/>
    </row>
    <row r="1168" ht="15.75" customHeight="1">
      <c r="A1168" s="21"/>
    </row>
    <row r="1169" ht="15.75" customHeight="1">
      <c r="A1169" s="21"/>
    </row>
    <row r="1170" ht="15.75" customHeight="1">
      <c r="A1170" s="21"/>
    </row>
    <row r="1171" ht="15.75" customHeight="1">
      <c r="A1171" s="21"/>
    </row>
    <row r="1172" ht="15.75" customHeight="1">
      <c r="A1172" s="21"/>
    </row>
    <row r="1173" ht="15.75" customHeight="1">
      <c r="A1173" s="21"/>
    </row>
    <row r="1174" ht="15.75" customHeight="1">
      <c r="A1174" s="21"/>
    </row>
    <row r="1175" ht="15.75" customHeight="1">
      <c r="A1175" s="21"/>
    </row>
    <row r="1176" ht="15.75" customHeight="1">
      <c r="A1176" s="21"/>
    </row>
    <row r="1177" ht="15.75" customHeight="1">
      <c r="A1177" s="21"/>
    </row>
    <row r="1178" ht="15.75" customHeight="1">
      <c r="A1178" s="21"/>
    </row>
    <row r="1179" ht="15.75" customHeight="1">
      <c r="A1179" s="21"/>
    </row>
    <row r="1180" ht="15.75" customHeight="1">
      <c r="A1180" s="21"/>
    </row>
    <row r="1181" ht="15.75" customHeight="1">
      <c r="A1181" s="21"/>
    </row>
    <row r="1182" ht="15.75" customHeight="1">
      <c r="A1182" s="21"/>
    </row>
    <row r="1183" ht="15.75" customHeight="1">
      <c r="A1183" s="21"/>
    </row>
    <row r="1184" ht="15.75" customHeight="1">
      <c r="A1184" s="21"/>
    </row>
    <row r="1185" ht="15.75" customHeight="1">
      <c r="A1185" s="21"/>
    </row>
    <row r="1186" ht="15.75" customHeight="1">
      <c r="A1186" s="21"/>
    </row>
    <row r="1187" ht="15.75" customHeight="1">
      <c r="A1187" s="21"/>
    </row>
    <row r="1188" ht="15.75" customHeight="1">
      <c r="A1188" s="21"/>
    </row>
    <row r="1189" ht="15.75" customHeight="1">
      <c r="A1189" s="21"/>
    </row>
    <row r="1190" ht="15.75" customHeight="1">
      <c r="A1190" s="21"/>
    </row>
    <row r="1191" ht="15.75" customHeight="1">
      <c r="A1191" s="21"/>
    </row>
    <row r="1192" ht="15.75" customHeight="1">
      <c r="A1192" s="21"/>
    </row>
    <row r="1193" ht="15.75" customHeight="1">
      <c r="A1193" s="21"/>
    </row>
    <row r="1194" ht="15.75" customHeight="1">
      <c r="A1194" s="21"/>
    </row>
    <row r="1195" ht="15.75" customHeight="1">
      <c r="A1195" s="21"/>
    </row>
    <row r="1196" ht="15.75" customHeight="1">
      <c r="A1196" s="21"/>
    </row>
    <row r="1197" ht="15.75" customHeight="1">
      <c r="A1197" s="21"/>
    </row>
    <row r="1198" ht="15.75" customHeight="1">
      <c r="A1198" s="21"/>
    </row>
    <row r="1199" ht="15.75" customHeight="1">
      <c r="A1199" s="21"/>
    </row>
    <row r="1200" ht="15.75" customHeight="1">
      <c r="A1200" s="21"/>
    </row>
    <row r="1201" ht="15.75" customHeight="1">
      <c r="A1201" s="21"/>
    </row>
    <row r="1202" ht="15.75" customHeight="1">
      <c r="A1202" s="21"/>
    </row>
    <row r="1203" ht="15.75" customHeight="1">
      <c r="A1203" s="21"/>
    </row>
    <row r="1204" ht="15.75" customHeight="1">
      <c r="A1204" s="21"/>
    </row>
    <row r="1205" ht="15.75" customHeight="1">
      <c r="A1205" s="21"/>
    </row>
    <row r="1206" ht="15.75" customHeight="1">
      <c r="A1206" s="21"/>
    </row>
    <row r="1207" ht="15.75" customHeight="1">
      <c r="A1207" s="21"/>
    </row>
    <row r="1208" ht="15.75" customHeight="1">
      <c r="A1208" s="21"/>
    </row>
    <row r="1209" ht="15.75" customHeight="1">
      <c r="A1209" s="21"/>
    </row>
    <row r="1210" ht="15.75" customHeight="1">
      <c r="A1210" s="21"/>
    </row>
    <row r="1211" ht="15.75" customHeight="1">
      <c r="A1211" s="21"/>
    </row>
    <row r="1212" ht="15.75" customHeight="1">
      <c r="A1212" s="21"/>
    </row>
    <row r="1213" ht="15.75" customHeight="1">
      <c r="A1213" s="21"/>
    </row>
    <row r="1214" ht="15.75" customHeight="1">
      <c r="A1214" s="21"/>
    </row>
    <row r="1215" ht="15.75" customHeight="1">
      <c r="A1215" s="21"/>
    </row>
    <row r="1216" ht="15.75" customHeight="1">
      <c r="A1216" s="21"/>
    </row>
    <row r="1217" ht="15.75" customHeight="1">
      <c r="A1217" s="21"/>
    </row>
    <row r="1218" ht="15.75" customHeight="1">
      <c r="A1218" s="21"/>
    </row>
    <row r="1219" ht="15.75" customHeight="1">
      <c r="A1219" s="21"/>
    </row>
    <row r="1220" ht="15.75" customHeight="1">
      <c r="A1220" s="21"/>
    </row>
    <row r="1221" ht="15.75" customHeight="1">
      <c r="A1221" s="21"/>
    </row>
    <row r="1222" ht="15.75" customHeight="1">
      <c r="A1222" s="21"/>
    </row>
    <row r="1223" ht="15.75" customHeight="1">
      <c r="A1223" s="21"/>
    </row>
    <row r="1224" ht="15.75" customHeight="1">
      <c r="A1224" s="21"/>
    </row>
    <row r="1225" ht="15.75" customHeight="1">
      <c r="A1225" s="21"/>
    </row>
    <row r="1226" ht="15.75" customHeight="1">
      <c r="A1226" s="21"/>
    </row>
    <row r="1227" ht="15.75" customHeight="1">
      <c r="A1227" s="21"/>
    </row>
    <row r="1228" ht="15.75" customHeight="1">
      <c r="A1228" s="21"/>
    </row>
    <row r="1229" ht="15.75" customHeight="1">
      <c r="A1229" s="21"/>
    </row>
    <row r="1230" ht="15.75" customHeight="1">
      <c r="A1230" s="21"/>
    </row>
    <row r="1231" ht="15.75" customHeight="1">
      <c r="A1231" s="21"/>
    </row>
    <row r="1232" ht="15.75" customHeight="1">
      <c r="A1232" s="21"/>
    </row>
    <row r="1233" ht="15.75" customHeight="1">
      <c r="A1233" s="21"/>
    </row>
    <row r="1234" ht="15.75" customHeight="1">
      <c r="A1234" s="21"/>
    </row>
    <row r="1235" ht="15.75" customHeight="1">
      <c r="A1235" s="21"/>
    </row>
    <row r="1236" ht="15.75" customHeight="1">
      <c r="A1236" s="21"/>
    </row>
    <row r="1237" ht="15.75" customHeight="1">
      <c r="A1237" s="21"/>
    </row>
    <row r="1238" ht="15.75" customHeight="1">
      <c r="A1238" s="21"/>
    </row>
    <row r="1239" ht="15.75" customHeight="1">
      <c r="A1239" s="21"/>
    </row>
    <row r="1240" ht="15.75" customHeight="1">
      <c r="A1240" s="21"/>
    </row>
    <row r="1241" ht="15.75" customHeight="1">
      <c r="A1241" s="21"/>
    </row>
    <row r="1242" ht="15.75" customHeight="1">
      <c r="A1242" s="21"/>
    </row>
    <row r="1243" ht="15.75" customHeight="1">
      <c r="A1243" s="21"/>
    </row>
    <row r="1244" ht="15.75" customHeight="1">
      <c r="A1244" s="21"/>
    </row>
    <row r="1245" ht="15.75" customHeight="1">
      <c r="A1245" s="21"/>
    </row>
    <row r="1246" ht="15.75" customHeight="1">
      <c r="A1246" s="21"/>
    </row>
    <row r="1247" ht="15.75" customHeight="1">
      <c r="A1247" s="21"/>
    </row>
    <row r="1248" ht="15.75" customHeight="1">
      <c r="A1248" s="21"/>
    </row>
    <row r="1249" ht="15.75" customHeight="1">
      <c r="A1249" s="21"/>
    </row>
    <row r="1250" ht="15.75" customHeight="1">
      <c r="A1250" s="21"/>
    </row>
    <row r="1251" ht="15.75" customHeight="1">
      <c r="A1251" s="21"/>
    </row>
    <row r="1252" ht="15.75" customHeight="1">
      <c r="A1252" s="21"/>
    </row>
    <row r="1253" ht="15.75" customHeight="1">
      <c r="A1253" s="21"/>
    </row>
    <row r="1254" ht="15.75" customHeight="1">
      <c r="A1254" s="21"/>
    </row>
    <row r="1255" ht="15.75" customHeight="1">
      <c r="A1255" s="21"/>
    </row>
    <row r="1256" ht="15.75" customHeight="1">
      <c r="A1256" s="21"/>
    </row>
    <row r="1257" ht="15.75" customHeight="1">
      <c r="A1257" s="21"/>
    </row>
    <row r="1258" ht="15.75" customHeight="1">
      <c r="A1258" s="21"/>
    </row>
    <row r="1259" ht="15.75" customHeight="1">
      <c r="A1259" s="21"/>
    </row>
    <row r="1260" ht="15.75" customHeight="1">
      <c r="A1260" s="21"/>
    </row>
    <row r="1261" ht="15.75" customHeight="1">
      <c r="A1261" s="21"/>
    </row>
    <row r="1262" ht="15.75" customHeight="1">
      <c r="A1262" s="21"/>
    </row>
    <row r="1263" ht="15.75" customHeight="1">
      <c r="A1263" s="21"/>
    </row>
    <row r="1264" ht="15.75" customHeight="1">
      <c r="A1264" s="21"/>
    </row>
    <row r="1265" ht="15.75" customHeight="1">
      <c r="A1265" s="21"/>
    </row>
    <row r="1266" ht="15.75" customHeight="1">
      <c r="A1266" s="21"/>
    </row>
    <row r="1267" ht="15.75" customHeight="1">
      <c r="A1267" s="21"/>
    </row>
    <row r="1268" ht="15.75" customHeight="1">
      <c r="A1268" s="21"/>
    </row>
    <row r="1269" ht="15.75" customHeight="1">
      <c r="A1269" s="21"/>
    </row>
    <row r="1270" ht="15.75" customHeight="1">
      <c r="A1270" s="21"/>
    </row>
    <row r="1271" ht="15.75" customHeight="1">
      <c r="A1271" s="21"/>
    </row>
    <row r="1272" ht="15.75" customHeight="1">
      <c r="A1272" s="21"/>
    </row>
    <row r="1273" ht="15.75" customHeight="1">
      <c r="A1273" s="21"/>
    </row>
    <row r="1274" ht="15.75" customHeight="1">
      <c r="A1274" s="21"/>
    </row>
    <row r="1275" ht="15.75" customHeight="1">
      <c r="A1275" s="21"/>
    </row>
    <row r="1276" ht="15.75" customHeight="1">
      <c r="A1276" s="21"/>
    </row>
    <row r="1277" ht="15.75" customHeight="1">
      <c r="A1277" s="21"/>
    </row>
    <row r="1278" ht="15.75" customHeight="1">
      <c r="A1278" s="21"/>
    </row>
    <row r="1279" ht="15.75" customHeight="1">
      <c r="A1279" s="21"/>
    </row>
    <row r="1280" ht="15.75" customHeight="1">
      <c r="A1280" s="21"/>
    </row>
    <row r="1281" ht="15.75" customHeight="1">
      <c r="A1281" s="21"/>
    </row>
    <row r="1282" ht="15.75" customHeight="1">
      <c r="A1282" s="21"/>
    </row>
    <row r="1283" ht="15.75" customHeight="1">
      <c r="A1283" s="21"/>
    </row>
    <row r="1284" ht="15.75" customHeight="1">
      <c r="A1284" s="21"/>
    </row>
    <row r="1285" ht="15.75" customHeight="1">
      <c r="A1285" s="21"/>
    </row>
    <row r="1286" ht="15.75" customHeight="1">
      <c r="A1286" s="21"/>
    </row>
    <row r="1287" ht="15.75" customHeight="1">
      <c r="A1287" s="21"/>
    </row>
    <row r="1288" ht="15.75" customHeight="1">
      <c r="A1288" s="21"/>
    </row>
    <row r="1289" ht="15.75" customHeight="1">
      <c r="A1289" s="21"/>
    </row>
    <row r="1290" ht="15.75" customHeight="1">
      <c r="A1290" s="21"/>
    </row>
    <row r="1291" ht="15.75" customHeight="1">
      <c r="A1291" s="21"/>
    </row>
    <row r="1292" ht="15.75" customHeight="1">
      <c r="A1292" s="21"/>
    </row>
    <row r="1293" ht="15.75" customHeight="1">
      <c r="A1293" s="21"/>
    </row>
    <row r="1294" ht="15.75" customHeight="1">
      <c r="A1294" s="21"/>
    </row>
    <row r="1295" ht="15.75" customHeight="1">
      <c r="A1295" s="21"/>
    </row>
    <row r="1296" ht="15.75" customHeight="1">
      <c r="A1296" s="21"/>
    </row>
    <row r="1297" ht="15.75" customHeight="1">
      <c r="A1297" s="21"/>
    </row>
    <row r="1298" ht="15.75" customHeight="1">
      <c r="A1298" s="21"/>
    </row>
    <row r="1299" ht="15.75" customHeight="1">
      <c r="A1299" s="21"/>
    </row>
    <row r="1300" ht="15.75" customHeight="1">
      <c r="A1300" s="21"/>
    </row>
    <row r="1301" ht="15.75" customHeight="1">
      <c r="A1301" s="21"/>
    </row>
    <row r="1302" ht="15.75" customHeight="1">
      <c r="A1302" s="21"/>
    </row>
    <row r="1303" ht="15.75" customHeight="1">
      <c r="A1303" s="21"/>
    </row>
    <row r="1304" ht="15.75" customHeight="1">
      <c r="A1304" s="21"/>
    </row>
    <row r="1305" ht="15.75" customHeight="1">
      <c r="A1305" s="21"/>
    </row>
    <row r="1306" ht="15.75" customHeight="1">
      <c r="A1306" s="21"/>
    </row>
    <row r="1307" ht="15.75" customHeight="1">
      <c r="A1307" s="21"/>
    </row>
    <row r="1308" ht="15.75" customHeight="1">
      <c r="A1308" s="21"/>
    </row>
    <row r="1309" ht="15.75" customHeight="1">
      <c r="A1309" s="21"/>
    </row>
    <row r="1310" ht="15.75" customHeight="1">
      <c r="A1310" s="21"/>
    </row>
    <row r="1311" ht="15.75" customHeight="1">
      <c r="A1311" s="21"/>
    </row>
    <row r="1312" ht="15.75" customHeight="1">
      <c r="A1312" s="21"/>
    </row>
    <row r="1313" ht="15.75" customHeight="1">
      <c r="A1313" s="21"/>
    </row>
    <row r="1314" ht="15.75" customHeight="1">
      <c r="A1314" s="21"/>
    </row>
    <row r="1315" ht="15.75" customHeight="1">
      <c r="A1315" s="21"/>
    </row>
    <row r="1316" ht="15.75" customHeight="1">
      <c r="A1316" s="21"/>
    </row>
    <row r="1317" ht="15.75" customHeight="1">
      <c r="A1317" s="21"/>
    </row>
    <row r="1318" ht="15.75" customHeight="1">
      <c r="A1318" s="21"/>
    </row>
    <row r="1319" ht="15.75" customHeight="1">
      <c r="A1319" s="21"/>
    </row>
    <row r="1320" ht="15.75" customHeight="1">
      <c r="A1320" s="21"/>
    </row>
    <row r="1321" ht="15.75" customHeight="1">
      <c r="A1321" s="21"/>
    </row>
    <row r="1322" ht="15.75" customHeight="1">
      <c r="A1322" s="21"/>
    </row>
    <row r="1323" ht="15.75" customHeight="1">
      <c r="A1323" s="21"/>
    </row>
    <row r="1324" ht="15.75" customHeight="1">
      <c r="A1324" s="21"/>
    </row>
    <row r="1325" ht="15.75" customHeight="1">
      <c r="A1325" s="21"/>
    </row>
    <row r="1326" ht="15.75" customHeight="1">
      <c r="A1326" s="21"/>
    </row>
    <row r="1327" ht="15.75" customHeight="1">
      <c r="A1327" s="21"/>
    </row>
    <row r="1328" ht="15.75" customHeight="1">
      <c r="A1328" s="21"/>
    </row>
    <row r="1329" ht="15.75" customHeight="1">
      <c r="A1329" s="21"/>
    </row>
    <row r="1330" ht="15.75" customHeight="1">
      <c r="A1330" s="21"/>
    </row>
    <row r="1331" ht="15.75" customHeight="1">
      <c r="A1331" s="21"/>
    </row>
    <row r="1332" ht="15.75" customHeight="1">
      <c r="A1332" s="21"/>
    </row>
    <row r="1333" ht="15.75" customHeight="1">
      <c r="A1333" s="21"/>
    </row>
    <row r="1334" ht="15.75" customHeight="1">
      <c r="A1334" s="21"/>
    </row>
    <row r="1335" ht="15.75" customHeight="1">
      <c r="A1335" s="21"/>
    </row>
    <row r="1336" ht="15.75" customHeight="1">
      <c r="A1336" s="21"/>
    </row>
    <row r="1337" ht="15.75" customHeight="1">
      <c r="A1337" s="21"/>
    </row>
    <row r="1338" ht="15.75" customHeight="1">
      <c r="A1338" s="21"/>
    </row>
    <row r="1339" ht="15.75" customHeight="1">
      <c r="A1339" s="21"/>
    </row>
    <row r="1340" ht="15.75" customHeight="1">
      <c r="A1340" s="21"/>
    </row>
    <row r="1341" ht="15.75" customHeight="1">
      <c r="A1341" s="21"/>
    </row>
    <row r="1342" ht="15.75" customHeight="1">
      <c r="A1342" s="21"/>
    </row>
    <row r="1343" ht="15.75" customHeight="1">
      <c r="A1343" s="21"/>
    </row>
    <row r="1344" ht="15.75" customHeight="1">
      <c r="A1344" s="21"/>
    </row>
    <row r="1345" ht="15.75" customHeight="1">
      <c r="A1345" s="21"/>
    </row>
    <row r="1346" ht="15.75" customHeight="1">
      <c r="A1346" s="21"/>
    </row>
    <row r="1347" ht="15.75" customHeight="1">
      <c r="A1347" s="21"/>
    </row>
    <row r="1348" ht="15.75" customHeight="1">
      <c r="A1348" s="21"/>
    </row>
    <row r="1349" ht="15.75" customHeight="1">
      <c r="A1349" s="21"/>
    </row>
    <row r="1350" ht="15.75" customHeight="1">
      <c r="A1350" s="21"/>
    </row>
    <row r="1351" ht="15.75" customHeight="1">
      <c r="A1351" s="21"/>
    </row>
    <row r="1352" ht="15.75" customHeight="1">
      <c r="A1352" s="21"/>
    </row>
    <row r="1353" ht="15.75" customHeight="1">
      <c r="A1353" s="21"/>
    </row>
    <row r="1354" ht="15.75" customHeight="1">
      <c r="A1354" s="21"/>
    </row>
    <row r="1355" ht="15.75" customHeight="1">
      <c r="A1355" s="21"/>
    </row>
    <row r="1356" ht="15.75" customHeight="1">
      <c r="A1356" s="21"/>
    </row>
    <row r="1357" ht="15.75" customHeight="1">
      <c r="A1357" s="21"/>
    </row>
    <row r="1358" ht="15.75" customHeight="1">
      <c r="A1358" s="21"/>
    </row>
    <row r="1359" ht="15.75" customHeight="1">
      <c r="A1359" s="21"/>
    </row>
    <row r="1360" ht="15.75" customHeight="1">
      <c r="A1360" s="21"/>
    </row>
    <row r="1361" ht="15.75" customHeight="1">
      <c r="A1361" s="21"/>
    </row>
    <row r="1362" ht="15.75" customHeight="1">
      <c r="A1362" s="21"/>
    </row>
    <row r="1363" ht="15.75" customHeight="1">
      <c r="A1363" s="21"/>
    </row>
    <row r="1364" ht="15.75" customHeight="1">
      <c r="A1364" s="21"/>
    </row>
    <row r="1365" ht="15.75" customHeight="1">
      <c r="A1365" s="21"/>
    </row>
    <row r="1366" ht="15.75" customHeight="1">
      <c r="A1366" s="21"/>
    </row>
    <row r="1367" ht="15.75" customHeight="1">
      <c r="A1367" s="21"/>
    </row>
    <row r="1368" ht="15.75" customHeight="1">
      <c r="A1368" s="21"/>
    </row>
    <row r="1369" ht="15.75" customHeight="1">
      <c r="A1369" s="21"/>
    </row>
    <row r="1370" ht="15.75" customHeight="1">
      <c r="A1370" s="21"/>
    </row>
    <row r="1371" ht="15.75" customHeight="1">
      <c r="A1371" s="21"/>
    </row>
    <row r="1372" ht="15.75" customHeight="1">
      <c r="A1372" s="21"/>
    </row>
    <row r="1373" ht="15.75" customHeight="1">
      <c r="A1373" s="21"/>
    </row>
    <row r="1374" ht="15.75" customHeight="1">
      <c r="A1374" s="21"/>
    </row>
    <row r="1375" ht="15.75" customHeight="1">
      <c r="A1375" s="21"/>
    </row>
    <row r="1376" ht="15.75" customHeight="1">
      <c r="A1376" s="21"/>
    </row>
    <row r="1377" ht="15.75" customHeight="1">
      <c r="A1377" s="21"/>
    </row>
    <row r="1378" ht="15.75" customHeight="1">
      <c r="A1378" s="21"/>
    </row>
    <row r="1379" ht="15.75" customHeight="1">
      <c r="A1379" s="21"/>
    </row>
    <row r="1380" ht="15.75" customHeight="1">
      <c r="A1380" s="21"/>
    </row>
    <row r="1381" ht="15.75" customHeight="1">
      <c r="A1381" s="21"/>
    </row>
    <row r="1382" ht="15.75" customHeight="1">
      <c r="A1382" s="21"/>
    </row>
    <row r="1383" ht="15.75" customHeight="1">
      <c r="A1383" s="21"/>
    </row>
    <row r="1384" ht="15.75" customHeight="1">
      <c r="A1384" s="21"/>
    </row>
    <row r="1385" ht="15.75" customHeight="1">
      <c r="A1385" s="21"/>
    </row>
    <row r="1386" ht="15.75" customHeight="1">
      <c r="A1386" s="21"/>
    </row>
    <row r="1387" ht="15.75" customHeight="1">
      <c r="A1387" s="21"/>
    </row>
    <row r="1388" ht="15.75" customHeight="1">
      <c r="A1388" s="21"/>
    </row>
    <row r="1389" ht="15.75" customHeight="1">
      <c r="A1389" s="21"/>
    </row>
    <row r="1390" ht="15.75" customHeight="1">
      <c r="A1390" s="21"/>
    </row>
    <row r="1391" ht="15.75" customHeight="1">
      <c r="A1391" s="21"/>
    </row>
    <row r="1392" ht="15.75" customHeight="1">
      <c r="A1392" s="21"/>
    </row>
    <row r="1393" ht="15.75" customHeight="1">
      <c r="A1393" s="21"/>
    </row>
    <row r="1394" ht="15.75" customHeight="1">
      <c r="A1394" s="21"/>
    </row>
    <row r="1395" ht="15.75" customHeight="1">
      <c r="A1395" s="21"/>
    </row>
    <row r="1396" ht="15.75" customHeight="1">
      <c r="A1396" s="21"/>
    </row>
    <row r="1397" ht="15.75" customHeight="1">
      <c r="A1397" s="21"/>
    </row>
    <row r="1398" ht="15.75" customHeight="1">
      <c r="A1398" s="21"/>
    </row>
    <row r="1399" ht="15.75" customHeight="1">
      <c r="A1399" s="21"/>
    </row>
    <row r="1400" ht="15.75" customHeight="1">
      <c r="A1400" s="21"/>
    </row>
    <row r="1401" ht="15.75" customHeight="1">
      <c r="A1401" s="21"/>
    </row>
    <row r="1402" ht="15.75" customHeight="1">
      <c r="A1402" s="21"/>
    </row>
    <row r="1403" ht="15.75" customHeight="1">
      <c r="A1403" s="21"/>
    </row>
    <row r="1404" ht="15.75" customHeight="1">
      <c r="A1404" s="21"/>
    </row>
    <row r="1405" ht="15.75" customHeight="1">
      <c r="A1405" s="21"/>
    </row>
    <row r="1406" ht="15.75" customHeight="1">
      <c r="A1406" s="21"/>
    </row>
    <row r="1407" ht="15.75" customHeight="1">
      <c r="A1407" s="21"/>
    </row>
    <row r="1408" ht="15.75" customHeight="1">
      <c r="A1408" s="21"/>
    </row>
    <row r="1409" ht="15.75" customHeight="1">
      <c r="A1409" s="21"/>
    </row>
    <row r="1410" ht="15.75" customHeight="1">
      <c r="A1410" s="21"/>
    </row>
    <row r="1411" ht="15.75" customHeight="1">
      <c r="A1411" s="21"/>
    </row>
    <row r="1412" ht="15.75" customHeight="1">
      <c r="A1412" s="21"/>
    </row>
    <row r="1413" ht="15.75" customHeight="1">
      <c r="A1413" s="21"/>
    </row>
    <row r="1414" ht="15.75" customHeight="1">
      <c r="A1414" s="21"/>
    </row>
    <row r="1415" ht="15.75" customHeight="1">
      <c r="A1415" s="21"/>
    </row>
    <row r="1416" ht="15.75" customHeight="1">
      <c r="A1416" s="21"/>
    </row>
    <row r="1417" ht="15.75" customHeight="1">
      <c r="A1417" s="21"/>
    </row>
    <row r="1418" ht="15.75" customHeight="1">
      <c r="A1418" s="21"/>
    </row>
    <row r="1419" ht="15.75" customHeight="1">
      <c r="A1419" s="21"/>
    </row>
    <row r="1420" ht="15.75" customHeight="1">
      <c r="A1420" s="21"/>
    </row>
    <row r="1421" ht="15.75" customHeight="1">
      <c r="A1421" s="21"/>
    </row>
    <row r="1422" ht="15.75" customHeight="1">
      <c r="A1422" s="21"/>
    </row>
    <row r="1423" ht="15.75" customHeight="1">
      <c r="A1423" s="21"/>
    </row>
    <row r="1424" ht="15.75" customHeight="1">
      <c r="A1424" s="21"/>
    </row>
    <row r="1425" ht="15.75" customHeight="1">
      <c r="A1425" s="21"/>
    </row>
    <row r="1426" ht="15.75" customHeight="1">
      <c r="A1426" s="21"/>
    </row>
    <row r="1427" ht="15.75" customHeight="1">
      <c r="A1427" s="21"/>
    </row>
    <row r="1428" ht="15.75" customHeight="1">
      <c r="A1428" s="21"/>
    </row>
    <row r="1429" ht="15.75" customHeight="1">
      <c r="A1429" s="21"/>
    </row>
    <row r="1430" ht="15.75" customHeight="1">
      <c r="A1430" s="21"/>
    </row>
    <row r="1431" ht="15.75" customHeight="1">
      <c r="A1431" s="21"/>
    </row>
    <row r="1432" ht="15.75" customHeight="1">
      <c r="A1432" s="21"/>
    </row>
    <row r="1433" ht="15.75" customHeight="1">
      <c r="A1433" s="21"/>
    </row>
    <row r="1434" ht="15.75" customHeight="1">
      <c r="A1434" s="21"/>
    </row>
    <row r="1435" ht="15.75" customHeight="1">
      <c r="A1435" s="21"/>
    </row>
    <row r="1436" ht="15.75" customHeight="1">
      <c r="A1436" s="21"/>
    </row>
    <row r="1437" ht="15.75" customHeight="1">
      <c r="A1437" s="21"/>
    </row>
    <row r="1438" ht="15.75" customHeight="1">
      <c r="A1438" s="21"/>
    </row>
    <row r="1439" ht="15.75" customHeight="1">
      <c r="A1439" s="21"/>
    </row>
    <row r="1440" ht="15.75" customHeight="1">
      <c r="A1440" s="21"/>
    </row>
    <row r="1441" ht="15.75" customHeight="1">
      <c r="A1441" s="21"/>
    </row>
    <row r="1442" ht="15.75" customHeight="1">
      <c r="A1442" s="21"/>
    </row>
    <row r="1443" ht="15.75" customHeight="1">
      <c r="A1443" s="21"/>
    </row>
    <row r="1444" ht="15.75" customHeight="1">
      <c r="A1444" s="21"/>
    </row>
    <row r="1445" ht="15.75" customHeight="1">
      <c r="A1445" s="21"/>
    </row>
    <row r="1446" ht="15.75" customHeight="1">
      <c r="A1446" s="21"/>
    </row>
    <row r="1447" ht="15.75" customHeight="1">
      <c r="A1447" s="21"/>
    </row>
    <row r="1448" ht="15.75" customHeight="1">
      <c r="A1448" s="21"/>
    </row>
    <row r="1449" ht="15.75" customHeight="1">
      <c r="A1449" s="21"/>
    </row>
    <row r="1450" ht="15.75" customHeight="1">
      <c r="A1450" s="21"/>
    </row>
    <row r="1451" ht="15.75" customHeight="1">
      <c r="A1451" s="21"/>
    </row>
    <row r="1452" ht="15.75" customHeight="1">
      <c r="A1452" s="21"/>
    </row>
    <row r="1453" ht="15.75" customHeight="1">
      <c r="A1453" s="21"/>
    </row>
    <row r="1454" ht="15.75" customHeight="1">
      <c r="A1454" s="21"/>
    </row>
    <row r="1455" ht="15.75" customHeight="1">
      <c r="A1455" s="21"/>
    </row>
    <row r="1456" ht="15.75" customHeight="1">
      <c r="A1456" s="21"/>
    </row>
    <row r="1457" ht="15.75" customHeight="1">
      <c r="A1457" s="21"/>
    </row>
    <row r="1458" ht="15.75" customHeight="1">
      <c r="A1458" s="21"/>
    </row>
    <row r="1459" ht="15.75" customHeight="1">
      <c r="A1459" s="21"/>
    </row>
    <row r="1460" ht="15.75" customHeight="1">
      <c r="A1460" s="21"/>
    </row>
    <row r="1461" ht="15.75" customHeight="1">
      <c r="A1461" s="21"/>
    </row>
    <row r="1462" ht="15.75" customHeight="1">
      <c r="A1462" s="21"/>
    </row>
    <row r="1463" ht="15.75" customHeight="1">
      <c r="A1463" s="21"/>
    </row>
    <row r="1464" ht="15.75" customHeight="1">
      <c r="A1464" s="21"/>
    </row>
    <row r="1465" ht="15.75" customHeight="1">
      <c r="A1465" s="21"/>
    </row>
    <row r="1466" ht="15.75" customHeight="1">
      <c r="A1466" s="21"/>
    </row>
    <row r="1467" ht="15.75" customHeight="1">
      <c r="A1467" s="21"/>
    </row>
    <row r="1468" ht="15.75" customHeight="1">
      <c r="A1468" s="21"/>
    </row>
    <row r="1469" ht="15.75" customHeight="1">
      <c r="A1469" s="21"/>
    </row>
    <row r="1470" ht="15.75" customHeight="1">
      <c r="A1470" s="21"/>
    </row>
    <row r="1471" ht="15.75" customHeight="1">
      <c r="A1471" s="21"/>
    </row>
    <row r="1472" ht="15.75" customHeight="1">
      <c r="A1472" s="21"/>
    </row>
    <row r="1473" ht="15.75" customHeight="1">
      <c r="A1473" s="21"/>
    </row>
    <row r="1474" ht="15.75" customHeight="1">
      <c r="A1474" s="21"/>
    </row>
    <row r="1475" ht="15.75" customHeight="1">
      <c r="A1475" s="21"/>
    </row>
    <row r="1476" ht="15.75" customHeight="1">
      <c r="A1476" s="21"/>
    </row>
    <row r="1477" ht="15.75" customHeight="1">
      <c r="A1477" s="21"/>
    </row>
    <row r="1478" ht="15.75" customHeight="1">
      <c r="A1478" s="21"/>
    </row>
    <row r="1479" ht="15.75" customHeight="1">
      <c r="A1479" s="21"/>
    </row>
    <row r="1480" ht="15.75" customHeight="1">
      <c r="A1480" s="21"/>
    </row>
    <row r="1481" ht="15.75" customHeight="1">
      <c r="A1481" s="21"/>
    </row>
    <row r="1482" ht="15.75" customHeight="1">
      <c r="A1482" s="21"/>
    </row>
    <row r="1483" ht="15.75" customHeight="1">
      <c r="A1483" s="21"/>
    </row>
    <row r="1484" ht="15.75" customHeight="1">
      <c r="A1484" s="21"/>
    </row>
    <row r="1485" ht="15.75" customHeight="1">
      <c r="A1485" s="21"/>
    </row>
    <row r="1486" ht="15.75" customHeight="1">
      <c r="A1486" s="21"/>
    </row>
    <row r="1487" ht="15.75" customHeight="1">
      <c r="A1487" s="21"/>
    </row>
    <row r="1488" ht="15.75" customHeight="1">
      <c r="A1488" s="21"/>
    </row>
    <row r="1489" ht="15.75" customHeight="1">
      <c r="A1489" s="21"/>
    </row>
    <row r="1490" ht="15.75" customHeight="1">
      <c r="A1490" s="21"/>
    </row>
    <row r="1491" ht="15.75" customHeight="1">
      <c r="A1491" s="21"/>
    </row>
    <row r="1492" ht="15.75" customHeight="1">
      <c r="A1492" s="21"/>
    </row>
    <row r="1493" ht="15.75" customHeight="1">
      <c r="A1493" s="21"/>
    </row>
    <row r="1494" ht="15.75" customHeight="1">
      <c r="A1494" s="21"/>
    </row>
    <row r="1495" ht="15.75" customHeight="1">
      <c r="A1495" s="21"/>
    </row>
    <row r="1496" ht="15.75" customHeight="1">
      <c r="A1496" s="21"/>
    </row>
    <row r="1497" ht="15.75" customHeight="1">
      <c r="A1497" s="21"/>
    </row>
    <row r="1498" ht="15.75" customHeight="1">
      <c r="A1498" s="21"/>
    </row>
    <row r="1499" ht="15.75" customHeight="1">
      <c r="A1499" s="21"/>
    </row>
    <row r="1500" ht="15.75" customHeight="1">
      <c r="A1500" s="21"/>
    </row>
    <row r="1501" ht="15.75" customHeight="1">
      <c r="A1501" s="21"/>
    </row>
    <row r="1502" ht="15.75" customHeight="1">
      <c r="A1502" s="21"/>
    </row>
    <row r="1503" ht="15.75" customHeight="1">
      <c r="A1503" s="21"/>
    </row>
    <row r="1504" ht="15.75" customHeight="1">
      <c r="A1504" s="21"/>
    </row>
    <row r="1505" ht="15.75" customHeight="1">
      <c r="A1505" s="21"/>
    </row>
    <row r="1506" ht="15.75" customHeight="1">
      <c r="A1506" s="21"/>
    </row>
    <row r="1507" ht="15.75" customHeight="1">
      <c r="A1507" s="21"/>
    </row>
    <row r="1508" ht="15.75" customHeight="1">
      <c r="A1508" s="21"/>
    </row>
    <row r="1509" ht="15.75" customHeight="1">
      <c r="A1509" s="21"/>
    </row>
    <row r="1510" ht="15.75" customHeight="1">
      <c r="A1510" s="21"/>
    </row>
    <row r="1511" ht="15.75" customHeight="1">
      <c r="A1511" s="21"/>
    </row>
    <row r="1512" ht="15.75" customHeight="1">
      <c r="A1512" s="21"/>
    </row>
    <row r="1513" ht="15.75" customHeight="1">
      <c r="A1513" s="21"/>
    </row>
    <row r="1514" ht="15.75" customHeight="1">
      <c r="A1514" s="21"/>
    </row>
    <row r="1515" ht="15.75" customHeight="1">
      <c r="A1515" s="21"/>
    </row>
    <row r="1516" ht="15.75" customHeight="1">
      <c r="A1516" s="21"/>
    </row>
    <row r="1517" ht="15.75" customHeight="1">
      <c r="A1517" s="21"/>
    </row>
    <row r="1518" ht="15.75" customHeight="1">
      <c r="A1518" s="21"/>
    </row>
    <row r="1519" ht="15.75" customHeight="1">
      <c r="A1519" s="21"/>
    </row>
    <row r="1520" ht="15.75" customHeight="1">
      <c r="A1520" s="21"/>
    </row>
    <row r="1521" ht="15.75" customHeight="1">
      <c r="A1521" s="21"/>
    </row>
    <row r="1522" ht="15.75" customHeight="1">
      <c r="A1522" s="21"/>
    </row>
    <row r="1523" ht="15.75" customHeight="1">
      <c r="A1523" s="21"/>
    </row>
    <row r="1524" ht="15.75" customHeight="1">
      <c r="A1524" s="21"/>
    </row>
    <row r="1525" ht="15.75" customHeight="1">
      <c r="A1525" s="21"/>
    </row>
    <row r="1526" ht="15.75" customHeight="1">
      <c r="A1526" s="21"/>
    </row>
    <row r="1527" ht="15.75" customHeight="1">
      <c r="A1527" s="21"/>
    </row>
    <row r="1528" ht="15.75" customHeight="1">
      <c r="A1528" s="21"/>
    </row>
    <row r="1529" ht="15.75" customHeight="1">
      <c r="A1529" s="21"/>
    </row>
    <row r="1530" ht="15.75" customHeight="1">
      <c r="A1530" s="21"/>
    </row>
    <row r="1531" ht="15.75" customHeight="1">
      <c r="A1531" s="21"/>
    </row>
    <row r="1532" ht="15.75" customHeight="1">
      <c r="A1532" s="21"/>
    </row>
    <row r="1533" ht="15.75" customHeight="1">
      <c r="A1533" s="21"/>
    </row>
    <row r="1534" ht="15.75" customHeight="1">
      <c r="A1534" s="21"/>
    </row>
    <row r="1535" ht="15.75" customHeight="1">
      <c r="A1535" s="21"/>
    </row>
    <row r="1536" ht="15.75" customHeight="1">
      <c r="A1536" s="21"/>
    </row>
    <row r="1537" ht="15.75" customHeight="1">
      <c r="A1537" s="21"/>
    </row>
    <row r="1538" ht="15.75" customHeight="1">
      <c r="A1538" s="21"/>
    </row>
    <row r="1539" ht="15.75" customHeight="1">
      <c r="A1539" s="21"/>
    </row>
    <row r="1540" ht="15.75" customHeight="1">
      <c r="A1540" s="21"/>
    </row>
    <row r="1541" ht="15.75" customHeight="1">
      <c r="A1541" s="21"/>
    </row>
    <row r="1542" ht="15.75" customHeight="1">
      <c r="A1542" s="21"/>
    </row>
    <row r="1543" ht="15.75" customHeight="1">
      <c r="A1543" s="21"/>
    </row>
    <row r="1544" ht="15.75" customHeight="1">
      <c r="A1544" s="21"/>
    </row>
    <row r="1545" ht="15.75" customHeight="1">
      <c r="A1545" s="21"/>
    </row>
    <row r="1546" ht="15.75" customHeight="1">
      <c r="A1546" s="21"/>
    </row>
    <row r="1547" ht="15.75" customHeight="1">
      <c r="A1547" s="21"/>
    </row>
    <row r="1548" ht="15.75" customHeight="1">
      <c r="A1548" s="21"/>
    </row>
    <row r="1549" ht="15.75" customHeight="1">
      <c r="A1549" s="21"/>
    </row>
    <row r="1550" ht="15.75" customHeight="1">
      <c r="A1550" s="21"/>
    </row>
    <row r="1551" ht="15.75" customHeight="1">
      <c r="A1551" s="21"/>
    </row>
    <row r="1552" ht="15.75" customHeight="1">
      <c r="A1552" s="21"/>
    </row>
    <row r="1553" ht="15.75" customHeight="1">
      <c r="A1553" s="21"/>
    </row>
    <row r="1554" ht="15.75" customHeight="1">
      <c r="A1554" s="21"/>
    </row>
    <row r="1555" ht="15.75" customHeight="1">
      <c r="A1555" s="21"/>
    </row>
    <row r="1556" ht="15.75" customHeight="1">
      <c r="A1556" s="21"/>
    </row>
    <row r="1557" ht="15.75" customHeight="1">
      <c r="A1557" s="21"/>
    </row>
    <row r="1558" ht="15.75" customHeight="1">
      <c r="A1558" s="21"/>
    </row>
    <row r="1559" ht="15.75" customHeight="1">
      <c r="A1559" s="21"/>
    </row>
    <row r="1560" ht="15.75" customHeight="1">
      <c r="A1560" s="21"/>
    </row>
    <row r="1561" ht="15.75" customHeight="1">
      <c r="A1561" s="21"/>
    </row>
    <row r="1562" ht="15.75" customHeight="1">
      <c r="A1562" s="21"/>
    </row>
    <row r="1563" ht="15.75" customHeight="1">
      <c r="A1563" s="21"/>
    </row>
    <row r="1564" ht="15.75" customHeight="1">
      <c r="A1564" s="21"/>
    </row>
    <row r="1565" ht="15.75" customHeight="1">
      <c r="A1565" s="21"/>
    </row>
    <row r="1566" ht="15.75" customHeight="1">
      <c r="A1566" s="21"/>
    </row>
    <row r="1567" ht="15.75" customHeight="1">
      <c r="A1567" s="21"/>
    </row>
    <row r="1568" ht="15.75" customHeight="1">
      <c r="A1568" s="21"/>
    </row>
    <row r="1569" ht="15.75" customHeight="1">
      <c r="A1569" s="21"/>
    </row>
    <row r="1570" ht="15.75" customHeight="1">
      <c r="A1570" s="21"/>
    </row>
    <row r="1571" ht="15.75" customHeight="1">
      <c r="A1571" s="21"/>
    </row>
    <row r="1572" ht="15.75" customHeight="1">
      <c r="A1572" s="21"/>
    </row>
    <row r="1573" ht="15.75" customHeight="1">
      <c r="A1573" s="21"/>
    </row>
    <row r="1574" ht="15.75" customHeight="1">
      <c r="A1574" s="21"/>
    </row>
    <row r="1575" ht="15.75" customHeight="1">
      <c r="A1575" s="21"/>
    </row>
    <row r="1576" ht="15.75" customHeight="1">
      <c r="A1576" s="21"/>
    </row>
    <row r="1577" ht="15.75" customHeight="1">
      <c r="A1577" s="21"/>
    </row>
    <row r="1578" ht="15.75" customHeight="1">
      <c r="A1578" s="21"/>
    </row>
    <row r="1579" ht="15.75" customHeight="1">
      <c r="A1579" s="21"/>
    </row>
    <row r="1580" ht="15.75" customHeight="1">
      <c r="A1580" s="21"/>
    </row>
    <row r="1581" ht="15.75" customHeight="1">
      <c r="A1581" s="21"/>
    </row>
    <row r="1582" ht="15.75" customHeight="1">
      <c r="A1582" s="21"/>
    </row>
    <row r="1583" ht="15.75" customHeight="1">
      <c r="A1583" s="21"/>
    </row>
    <row r="1584" ht="15.75" customHeight="1">
      <c r="A1584" s="21"/>
    </row>
    <row r="1585" ht="15.75" customHeight="1">
      <c r="A1585" s="21"/>
    </row>
    <row r="1586" ht="15.75" customHeight="1">
      <c r="A1586" s="21"/>
    </row>
    <row r="1587" ht="15.75" customHeight="1">
      <c r="A1587" s="21"/>
    </row>
    <row r="1588" ht="15.75" customHeight="1">
      <c r="A1588" s="21"/>
    </row>
    <row r="1589" ht="15.75" customHeight="1">
      <c r="A1589" s="21"/>
    </row>
    <row r="1590" ht="15.75" customHeight="1">
      <c r="A1590" s="21"/>
    </row>
    <row r="1591" ht="15.75" customHeight="1">
      <c r="A1591" s="21"/>
    </row>
    <row r="1592" ht="15.75" customHeight="1">
      <c r="A1592" s="21"/>
    </row>
    <row r="1593" ht="15.75" customHeight="1">
      <c r="A1593" s="21"/>
    </row>
    <row r="1594" ht="15.75" customHeight="1">
      <c r="A1594" s="21"/>
    </row>
    <row r="1595" ht="15.75" customHeight="1">
      <c r="A1595" s="21"/>
    </row>
    <row r="1596" ht="15.75" customHeight="1">
      <c r="A1596" s="21"/>
    </row>
    <row r="1597" ht="15.75" customHeight="1">
      <c r="A1597" s="21"/>
    </row>
    <row r="1598" ht="15.75" customHeight="1">
      <c r="A1598" s="21"/>
    </row>
    <row r="1599" ht="15.75" customHeight="1">
      <c r="A1599" s="21"/>
    </row>
    <row r="1600" ht="15.75" customHeight="1">
      <c r="A1600" s="21"/>
    </row>
    <row r="1601" ht="15.75" customHeight="1">
      <c r="A1601" s="21"/>
    </row>
    <row r="1602" ht="15.75" customHeight="1">
      <c r="A1602" s="21"/>
    </row>
    <row r="1603" ht="15.75" customHeight="1">
      <c r="A1603" s="21"/>
    </row>
    <row r="1604" ht="15.75" customHeight="1">
      <c r="A1604" s="21"/>
    </row>
    <row r="1605" ht="15.75" customHeight="1">
      <c r="A1605" s="21"/>
    </row>
    <row r="1606" ht="15.75" customHeight="1">
      <c r="A1606" s="21"/>
    </row>
    <row r="1607" ht="15.75" customHeight="1">
      <c r="A1607" s="21"/>
    </row>
    <row r="1608" ht="15.75" customHeight="1">
      <c r="A1608" s="21"/>
    </row>
    <row r="1609" ht="15.75" customHeight="1">
      <c r="A1609" s="21"/>
    </row>
    <row r="1610" ht="15.75" customHeight="1">
      <c r="A1610" s="21"/>
    </row>
    <row r="1611" ht="15.75" customHeight="1">
      <c r="A1611" s="21"/>
    </row>
    <row r="1612" ht="15.75" customHeight="1">
      <c r="A1612" s="21"/>
    </row>
    <row r="1613" ht="15.75" customHeight="1">
      <c r="A1613" s="21"/>
    </row>
    <row r="1614" ht="15.75" customHeight="1">
      <c r="A1614" s="21"/>
    </row>
    <row r="1615" ht="15.75" customHeight="1">
      <c r="A1615" s="21"/>
    </row>
    <row r="1616" ht="15.75" customHeight="1">
      <c r="A1616" s="21"/>
    </row>
    <row r="1617" ht="15.75" customHeight="1">
      <c r="A1617" s="21"/>
    </row>
    <row r="1618" ht="15.75" customHeight="1">
      <c r="A1618" s="21"/>
    </row>
    <row r="1619" ht="15.75" customHeight="1">
      <c r="A1619" s="21"/>
    </row>
    <row r="1620" ht="15.75" customHeight="1">
      <c r="A1620" s="21"/>
    </row>
    <row r="1621" ht="15.75" customHeight="1">
      <c r="A1621" s="21"/>
    </row>
    <row r="1622" ht="15.75" customHeight="1">
      <c r="A1622" s="21"/>
    </row>
    <row r="1623" ht="15.75" customHeight="1">
      <c r="A1623" s="21"/>
    </row>
    <row r="1624" ht="15.75" customHeight="1">
      <c r="A1624" s="21"/>
    </row>
    <row r="1625" ht="15.75" customHeight="1">
      <c r="A1625" s="21"/>
    </row>
    <row r="1626" ht="15.75" customHeight="1">
      <c r="A1626" s="21"/>
    </row>
    <row r="1627" ht="15.75" customHeight="1">
      <c r="A1627" s="21"/>
    </row>
    <row r="1628" ht="15.75" customHeight="1">
      <c r="A1628" s="21"/>
    </row>
    <row r="1629" ht="15.75" customHeight="1">
      <c r="A1629" s="21"/>
    </row>
    <row r="1630" ht="15.75" customHeight="1">
      <c r="A1630" s="21"/>
    </row>
    <row r="1631" ht="15.75" customHeight="1">
      <c r="A1631" s="21"/>
    </row>
    <row r="1632" ht="15.75" customHeight="1">
      <c r="A1632" s="21"/>
    </row>
    <row r="1633" ht="15.75" customHeight="1">
      <c r="A1633" s="21"/>
    </row>
    <row r="1634" ht="15.75" customHeight="1">
      <c r="A1634" s="21"/>
    </row>
    <row r="1635" ht="15.75" customHeight="1">
      <c r="A1635" s="21"/>
    </row>
    <row r="1636" ht="15.75" customHeight="1">
      <c r="A1636" s="21"/>
    </row>
    <row r="1637" ht="15.75" customHeight="1">
      <c r="A1637" s="21"/>
    </row>
    <row r="1638" ht="15.75" customHeight="1">
      <c r="A1638" s="21"/>
    </row>
    <row r="1639" ht="15.75" customHeight="1">
      <c r="A1639" s="21"/>
    </row>
    <row r="1640" ht="15.75" customHeight="1">
      <c r="A1640" s="21"/>
    </row>
    <row r="1641" ht="15.75" customHeight="1">
      <c r="A1641" s="21"/>
    </row>
    <row r="1642" ht="15.75" customHeight="1">
      <c r="A1642" s="21"/>
    </row>
    <row r="1643" ht="15.75" customHeight="1">
      <c r="A1643" s="21"/>
    </row>
    <row r="1644" ht="15.75" customHeight="1">
      <c r="A1644" s="21"/>
    </row>
    <row r="1645" ht="15.75" customHeight="1">
      <c r="A1645" s="21"/>
    </row>
    <row r="1646" ht="15.75" customHeight="1">
      <c r="A1646" s="21"/>
    </row>
    <row r="1647" ht="15.75" customHeight="1">
      <c r="A1647" s="21"/>
    </row>
    <row r="1648" ht="15.75" customHeight="1">
      <c r="A1648" s="21"/>
    </row>
    <row r="1649" ht="15.75" customHeight="1">
      <c r="A1649" s="21"/>
    </row>
    <row r="1650" ht="15.75" customHeight="1">
      <c r="A1650" s="21"/>
    </row>
    <row r="1651" ht="15.75" customHeight="1">
      <c r="A1651" s="21"/>
    </row>
    <row r="1652" ht="15.75" customHeight="1">
      <c r="A1652" s="21"/>
    </row>
    <row r="1653" ht="15.75" customHeight="1">
      <c r="A1653" s="21"/>
    </row>
    <row r="1654" ht="15.75" customHeight="1">
      <c r="A1654" s="21"/>
    </row>
    <row r="1655" ht="15.75" customHeight="1">
      <c r="A1655" s="21"/>
    </row>
    <row r="1656" ht="15.75" customHeight="1">
      <c r="A1656" s="21"/>
    </row>
    <row r="1657" ht="15.75" customHeight="1">
      <c r="A1657" s="21"/>
    </row>
    <row r="1658" ht="15.75" customHeight="1">
      <c r="A1658" s="21"/>
    </row>
    <row r="1659" ht="15.75" customHeight="1">
      <c r="A1659" s="21"/>
    </row>
    <row r="1660" ht="15.75" customHeight="1">
      <c r="A1660" s="21"/>
    </row>
    <row r="1661" ht="15.75" customHeight="1">
      <c r="A1661" s="21"/>
    </row>
    <row r="1662" ht="15.75" customHeight="1">
      <c r="A1662" s="21"/>
    </row>
    <row r="1663" ht="15.75" customHeight="1">
      <c r="A1663" s="21"/>
    </row>
    <row r="1664" ht="15.75" customHeight="1">
      <c r="A1664" s="21"/>
    </row>
    <row r="1665" ht="15.75" customHeight="1">
      <c r="A1665" s="21"/>
    </row>
    <row r="1666" ht="15.75" customHeight="1">
      <c r="A1666" s="21"/>
    </row>
    <row r="1667" ht="15.75" customHeight="1">
      <c r="A1667" s="21"/>
    </row>
    <row r="1668" ht="15.75" customHeight="1">
      <c r="A1668" s="21"/>
    </row>
    <row r="1669" ht="15.75" customHeight="1">
      <c r="A1669" s="21"/>
    </row>
    <row r="1670" ht="15.75" customHeight="1">
      <c r="A1670" s="21"/>
    </row>
    <row r="1671" ht="15.75" customHeight="1">
      <c r="A1671" s="21"/>
    </row>
    <row r="1672" ht="15.75" customHeight="1">
      <c r="A1672" s="21"/>
    </row>
    <row r="1673" ht="15.75" customHeight="1">
      <c r="A1673" s="21"/>
    </row>
    <row r="1674" ht="15.75" customHeight="1">
      <c r="A1674" s="21"/>
    </row>
    <row r="1675" ht="15.75" customHeight="1">
      <c r="A1675" s="21"/>
    </row>
    <row r="1676" ht="15.75" customHeight="1">
      <c r="A1676" s="21"/>
    </row>
    <row r="1677" ht="15.75" customHeight="1">
      <c r="A1677" s="21"/>
    </row>
    <row r="1678" ht="15.75" customHeight="1">
      <c r="A1678" s="21"/>
    </row>
    <row r="1679" ht="15.75" customHeight="1">
      <c r="A1679" s="21"/>
    </row>
    <row r="1680" ht="15.75" customHeight="1">
      <c r="A1680" s="21"/>
    </row>
    <row r="1681" ht="15.75" customHeight="1">
      <c r="A1681" s="21"/>
    </row>
    <row r="1682" ht="15.75" customHeight="1">
      <c r="A1682" s="21"/>
    </row>
    <row r="1683" ht="15.75" customHeight="1">
      <c r="A1683" s="21"/>
    </row>
    <row r="1684" ht="15.75" customHeight="1">
      <c r="A1684" s="21"/>
    </row>
    <row r="1685" ht="15.75" customHeight="1">
      <c r="A1685" s="21"/>
    </row>
    <row r="1686" ht="15.75" customHeight="1">
      <c r="A1686" s="21"/>
    </row>
    <row r="1687" ht="15.75" customHeight="1">
      <c r="A1687" s="21"/>
    </row>
    <row r="1688" ht="15.75" customHeight="1">
      <c r="A1688" s="21"/>
    </row>
    <row r="1689" ht="15.75" customHeight="1">
      <c r="A1689" s="21"/>
    </row>
    <row r="1690" ht="15.75" customHeight="1">
      <c r="A1690" s="21"/>
    </row>
    <row r="1691" ht="15.75" customHeight="1">
      <c r="A1691" s="21"/>
    </row>
    <row r="1692" ht="15.75" customHeight="1">
      <c r="A1692" s="21"/>
    </row>
    <row r="1693" ht="15.75" customHeight="1">
      <c r="A1693" s="21"/>
    </row>
    <row r="1694" ht="15.75" customHeight="1">
      <c r="A1694" s="21"/>
    </row>
    <row r="1695" ht="15.75" customHeight="1">
      <c r="A1695" s="21"/>
    </row>
    <row r="1696" ht="15.75" customHeight="1">
      <c r="A1696" s="21"/>
    </row>
    <row r="1697" ht="15.75" customHeight="1">
      <c r="A1697" s="21"/>
    </row>
    <row r="1698" ht="15.75" customHeight="1">
      <c r="A1698" s="21"/>
    </row>
    <row r="1699" ht="15.75" customHeight="1">
      <c r="A1699" s="21"/>
    </row>
    <row r="1700" ht="15.75" customHeight="1">
      <c r="A1700" s="21"/>
    </row>
    <row r="1701" ht="15.75" customHeight="1">
      <c r="A1701" s="21"/>
    </row>
    <row r="1702" ht="15.75" customHeight="1">
      <c r="A1702" s="21"/>
    </row>
    <row r="1703" ht="15.75" customHeight="1">
      <c r="A1703" s="21"/>
    </row>
    <row r="1704" ht="15.75" customHeight="1">
      <c r="A1704" s="21"/>
    </row>
    <row r="1705" ht="15.75" customHeight="1">
      <c r="A1705" s="21"/>
    </row>
    <row r="1706" ht="15.75" customHeight="1">
      <c r="A1706" s="21"/>
    </row>
    <row r="1707" ht="15.75" customHeight="1">
      <c r="A1707" s="21"/>
    </row>
    <row r="1708" ht="15.75" customHeight="1">
      <c r="A1708" s="21"/>
    </row>
    <row r="1709" ht="15.75" customHeight="1">
      <c r="A1709" s="21"/>
    </row>
    <row r="1710" ht="15.75" customHeight="1">
      <c r="A1710" s="21"/>
    </row>
    <row r="1711" ht="15.75" customHeight="1">
      <c r="A1711" s="21"/>
    </row>
    <row r="1712" ht="15.75" customHeight="1">
      <c r="A1712" s="21"/>
    </row>
    <row r="1713" ht="15.75" customHeight="1">
      <c r="A1713" s="21"/>
    </row>
    <row r="1714" ht="15.75" customHeight="1">
      <c r="A1714" s="21"/>
    </row>
    <row r="1715" ht="15.75" customHeight="1">
      <c r="A1715" s="21"/>
    </row>
    <row r="1716" ht="15.75" customHeight="1">
      <c r="A1716" s="21"/>
    </row>
    <row r="1717" ht="15.75" customHeight="1">
      <c r="A1717" s="21"/>
    </row>
    <row r="1718" ht="15.75" customHeight="1">
      <c r="A1718" s="21"/>
    </row>
    <row r="1719" ht="15.75" customHeight="1">
      <c r="A1719" s="21"/>
    </row>
    <row r="1720" ht="15.75" customHeight="1">
      <c r="A1720" s="21"/>
    </row>
    <row r="1721" ht="15.75" customHeight="1">
      <c r="A1721" s="21"/>
    </row>
    <row r="1722" ht="15.75" customHeight="1">
      <c r="A1722" s="21"/>
    </row>
    <row r="1723" ht="15.75" customHeight="1">
      <c r="A1723" s="21"/>
    </row>
    <row r="1724" ht="15.75" customHeight="1">
      <c r="A1724" s="21"/>
    </row>
    <row r="1725" ht="15.75" customHeight="1">
      <c r="A1725" s="21"/>
    </row>
    <row r="1726" ht="15.75" customHeight="1">
      <c r="A1726" s="21"/>
    </row>
    <row r="1727" ht="15.75" customHeight="1">
      <c r="A1727" s="21"/>
    </row>
    <row r="1728" ht="15.75" customHeight="1">
      <c r="A1728" s="21"/>
    </row>
    <row r="1729" ht="15.75" customHeight="1">
      <c r="A1729" s="21"/>
    </row>
    <row r="1730" ht="15.75" customHeight="1">
      <c r="A1730" s="21"/>
    </row>
    <row r="1731" ht="15.75" customHeight="1">
      <c r="A1731" s="21"/>
    </row>
    <row r="1732" ht="15.75" customHeight="1">
      <c r="A1732" s="21"/>
    </row>
    <row r="1733" ht="15.75" customHeight="1">
      <c r="A1733" s="21"/>
    </row>
    <row r="1734" ht="15.75" customHeight="1">
      <c r="A1734" s="21"/>
    </row>
    <row r="1735" ht="15.75" customHeight="1">
      <c r="A1735" s="21"/>
    </row>
    <row r="1736" ht="15.75" customHeight="1">
      <c r="A1736" s="21"/>
    </row>
    <row r="1737" ht="15.75" customHeight="1">
      <c r="A1737" s="21"/>
    </row>
    <row r="1738" ht="15.75" customHeight="1">
      <c r="A1738" s="21"/>
    </row>
    <row r="1739" ht="15.75" customHeight="1">
      <c r="A1739" s="21"/>
    </row>
    <row r="1740" ht="15.75" customHeight="1">
      <c r="A1740" s="21"/>
    </row>
    <row r="1741" ht="15.75" customHeight="1">
      <c r="A1741" s="21"/>
    </row>
    <row r="1742" ht="15.75" customHeight="1">
      <c r="A1742" s="21"/>
    </row>
    <row r="1743" ht="15.75" customHeight="1">
      <c r="A1743" s="21"/>
    </row>
    <row r="1744" ht="15.75" customHeight="1">
      <c r="A1744" s="21"/>
    </row>
    <row r="1745" ht="15.75" customHeight="1">
      <c r="A1745" s="21"/>
    </row>
    <row r="1746" ht="15.75" customHeight="1">
      <c r="A1746" s="21"/>
    </row>
    <row r="1747" ht="15.75" customHeight="1">
      <c r="A1747" s="21"/>
    </row>
    <row r="1748" ht="15.75" customHeight="1">
      <c r="A1748" s="21"/>
    </row>
    <row r="1749" ht="15.75" customHeight="1">
      <c r="A1749" s="21"/>
    </row>
    <row r="1750" ht="15.75" customHeight="1">
      <c r="A1750" s="21"/>
    </row>
    <row r="1751" ht="15.75" customHeight="1">
      <c r="A1751" s="21"/>
    </row>
    <row r="1752" ht="15.75" customHeight="1">
      <c r="A1752" s="21"/>
    </row>
    <row r="1753" ht="15.75" customHeight="1">
      <c r="A1753" s="21"/>
    </row>
    <row r="1754" ht="15.75" customHeight="1">
      <c r="A1754" s="21"/>
    </row>
    <row r="1755" ht="15.75" customHeight="1">
      <c r="A1755" s="21"/>
    </row>
    <row r="1756" ht="15.75" customHeight="1">
      <c r="A1756" s="21"/>
    </row>
    <row r="1757" ht="15.75" customHeight="1">
      <c r="A1757" s="21"/>
    </row>
    <row r="1758" ht="15.75" customHeight="1">
      <c r="A1758" s="21"/>
    </row>
    <row r="1759" ht="15.75" customHeight="1">
      <c r="A1759" s="21"/>
    </row>
    <row r="1760" ht="15.75" customHeight="1">
      <c r="A1760" s="21"/>
    </row>
    <row r="1761" ht="15.75" customHeight="1">
      <c r="A1761" s="21"/>
    </row>
    <row r="1762" ht="15.75" customHeight="1">
      <c r="A1762" s="21"/>
    </row>
    <row r="1763" ht="15.75" customHeight="1">
      <c r="A1763" s="21"/>
    </row>
    <row r="1764" ht="15.75" customHeight="1">
      <c r="A1764" s="21"/>
    </row>
    <row r="1765" ht="15.75" customHeight="1">
      <c r="A1765" s="21"/>
    </row>
    <row r="1766" ht="15.75" customHeight="1">
      <c r="A1766" s="21"/>
    </row>
    <row r="1767" ht="15.75" customHeight="1">
      <c r="A1767" s="21"/>
    </row>
    <row r="1768" ht="15.75" customHeight="1">
      <c r="A1768" s="21"/>
    </row>
    <row r="1769" ht="15.75" customHeight="1">
      <c r="A1769" s="21"/>
    </row>
    <row r="1770" ht="15.75" customHeight="1">
      <c r="A1770" s="21"/>
    </row>
    <row r="1771" ht="15.75" customHeight="1">
      <c r="A1771" s="21"/>
    </row>
    <row r="1772" ht="15.75" customHeight="1">
      <c r="A1772" s="21"/>
    </row>
    <row r="1773" ht="15.75" customHeight="1">
      <c r="A1773" s="21"/>
    </row>
    <row r="1774" ht="15.75" customHeight="1">
      <c r="A1774" s="21"/>
    </row>
    <row r="1775" ht="15.75" customHeight="1">
      <c r="A1775" s="21"/>
    </row>
    <row r="1776" ht="15.75" customHeight="1">
      <c r="A1776" s="21"/>
    </row>
    <row r="1777" ht="15.75" customHeight="1">
      <c r="A1777" s="21"/>
    </row>
    <row r="1778" ht="15.75" customHeight="1">
      <c r="A1778" s="21"/>
    </row>
    <row r="1779" ht="15.75" customHeight="1">
      <c r="A1779" s="21"/>
    </row>
    <row r="1780" ht="15.75" customHeight="1">
      <c r="A1780" s="21"/>
    </row>
    <row r="1781" ht="15.75" customHeight="1">
      <c r="A1781" s="21"/>
    </row>
    <row r="1782" ht="15.75" customHeight="1">
      <c r="A1782" s="21"/>
    </row>
    <row r="1783" ht="15.75" customHeight="1">
      <c r="A1783" s="21"/>
    </row>
    <row r="1784" ht="15.75" customHeight="1">
      <c r="A1784" s="21"/>
    </row>
    <row r="1785" ht="15.75" customHeight="1">
      <c r="A1785" s="21"/>
    </row>
    <row r="1786" ht="15.75" customHeight="1">
      <c r="A1786" s="21"/>
    </row>
    <row r="1787" ht="15.75" customHeight="1">
      <c r="A1787" s="21"/>
    </row>
    <row r="1788" ht="15.75" customHeight="1">
      <c r="A1788" s="21"/>
    </row>
    <row r="1789" ht="15.75" customHeight="1">
      <c r="A1789" s="21"/>
    </row>
    <row r="1790" ht="15.75" customHeight="1">
      <c r="A1790" s="21"/>
    </row>
    <row r="1791" ht="15.75" customHeight="1">
      <c r="A1791" s="21"/>
    </row>
    <row r="1792" ht="15.75" customHeight="1">
      <c r="A1792" s="21"/>
    </row>
    <row r="1793" ht="15.75" customHeight="1">
      <c r="A1793" s="21"/>
    </row>
    <row r="1794" ht="15.75" customHeight="1">
      <c r="A1794" s="21"/>
    </row>
    <row r="1795" ht="15.75" customHeight="1">
      <c r="A1795" s="21"/>
    </row>
    <row r="1796" ht="15.75" customHeight="1">
      <c r="A1796" s="21"/>
    </row>
    <row r="1797" ht="15.75" customHeight="1">
      <c r="A1797" s="21"/>
    </row>
    <row r="1798" ht="15.75" customHeight="1">
      <c r="A1798" s="21"/>
    </row>
    <row r="1799" ht="15.75" customHeight="1">
      <c r="A1799" s="21"/>
    </row>
    <row r="1800" ht="15.75" customHeight="1">
      <c r="A1800" s="21"/>
    </row>
    <row r="1801" ht="15.75" customHeight="1">
      <c r="A1801" s="21"/>
    </row>
    <row r="1802" ht="15.75" customHeight="1">
      <c r="A1802" s="21"/>
    </row>
    <row r="1803" ht="15.75" customHeight="1">
      <c r="A1803" s="21"/>
    </row>
    <row r="1804" ht="15.75" customHeight="1">
      <c r="A1804" s="21"/>
    </row>
    <row r="1805" ht="15.75" customHeight="1">
      <c r="A1805" s="21"/>
    </row>
    <row r="1806" ht="15.75" customHeight="1">
      <c r="A1806" s="21"/>
    </row>
    <row r="1807" ht="15.75" customHeight="1">
      <c r="A1807" s="21"/>
    </row>
    <row r="1808" ht="15.75" customHeight="1">
      <c r="A1808" s="21"/>
    </row>
    <row r="1809" ht="15.75" customHeight="1">
      <c r="A1809" s="21"/>
    </row>
    <row r="1810" ht="15.75" customHeight="1">
      <c r="A1810" s="21"/>
    </row>
    <row r="1811" ht="15.75" customHeight="1">
      <c r="A1811" s="21"/>
    </row>
    <row r="1812" ht="15.75" customHeight="1">
      <c r="A1812" s="21"/>
    </row>
    <row r="1813" ht="15.75" customHeight="1">
      <c r="A1813" s="21"/>
    </row>
    <row r="1814" ht="15.75" customHeight="1">
      <c r="A1814" s="21"/>
    </row>
    <row r="1815" ht="15.75" customHeight="1">
      <c r="A1815" s="21"/>
    </row>
    <row r="1816" ht="15.75" customHeight="1">
      <c r="A1816" s="21"/>
    </row>
    <row r="1817" ht="15.75" customHeight="1">
      <c r="A1817" s="21"/>
    </row>
    <row r="1818" ht="15.75" customHeight="1">
      <c r="A1818" s="21"/>
    </row>
    <row r="1819" ht="15.75" customHeight="1">
      <c r="A1819" s="21"/>
    </row>
    <row r="1820" ht="15.75" customHeight="1">
      <c r="A1820" s="21"/>
    </row>
    <row r="1821" ht="15.75" customHeight="1">
      <c r="A1821" s="21"/>
    </row>
    <row r="1822" ht="15.75" customHeight="1">
      <c r="A1822" s="21"/>
    </row>
    <row r="1823" ht="15.75" customHeight="1">
      <c r="A1823" s="21"/>
    </row>
    <row r="1824" ht="15.75" customHeight="1">
      <c r="A1824" s="21"/>
    </row>
    <row r="1825" ht="15.75" customHeight="1">
      <c r="A1825" s="21"/>
    </row>
    <row r="1826" ht="15.75" customHeight="1">
      <c r="A1826" s="21"/>
    </row>
    <row r="1827" ht="15.75" customHeight="1">
      <c r="A1827" s="21"/>
    </row>
    <row r="1828" ht="15.75" customHeight="1">
      <c r="A1828" s="21"/>
    </row>
    <row r="1829" ht="15.75" customHeight="1">
      <c r="A1829" s="21"/>
    </row>
    <row r="1830" ht="15.75" customHeight="1">
      <c r="A1830" s="21"/>
    </row>
    <row r="1831" ht="15.75" customHeight="1">
      <c r="A1831" s="21"/>
    </row>
    <row r="1832" ht="15.75" customHeight="1">
      <c r="A1832" s="21"/>
    </row>
    <row r="1833" ht="15.75" customHeight="1">
      <c r="A1833" s="21"/>
    </row>
    <row r="1834" ht="15.75" customHeight="1">
      <c r="A1834" s="21"/>
    </row>
    <row r="1835" ht="15.75" customHeight="1">
      <c r="A1835" s="21"/>
    </row>
    <row r="1836" ht="15.75" customHeight="1">
      <c r="A1836" s="21"/>
    </row>
    <row r="1837" ht="15.75" customHeight="1">
      <c r="A1837" s="21"/>
    </row>
    <row r="1838" ht="15.75" customHeight="1">
      <c r="A1838" s="21"/>
    </row>
    <row r="1839" ht="15.75" customHeight="1">
      <c r="A1839" s="21"/>
    </row>
    <row r="1840" ht="15.75" customHeight="1">
      <c r="A1840" s="21"/>
    </row>
    <row r="1841" ht="15.75" customHeight="1">
      <c r="A1841" s="21"/>
    </row>
    <row r="1842" ht="15.75" customHeight="1">
      <c r="A1842" s="21"/>
    </row>
    <row r="1843" ht="15.75" customHeight="1">
      <c r="A1843" s="21"/>
    </row>
    <row r="1844" ht="15.75" customHeight="1">
      <c r="A1844" s="21"/>
    </row>
    <row r="1845" ht="15.75" customHeight="1">
      <c r="A1845" s="21"/>
    </row>
    <row r="1846" ht="15.75" customHeight="1">
      <c r="A1846" s="21"/>
    </row>
    <row r="1847" ht="15.75" customHeight="1">
      <c r="A1847" s="21"/>
    </row>
    <row r="1848" ht="15.75" customHeight="1">
      <c r="A1848" s="21"/>
    </row>
    <row r="1849" ht="15.75" customHeight="1">
      <c r="A1849" s="21"/>
    </row>
    <row r="1850" ht="15.75" customHeight="1">
      <c r="A1850" s="21"/>
    </row>
    <row r="1851" ht="15.75" customHeight="1">
      <c r="A1851" s="21"/>
    </row>
    <row r="1852" ht="15.75" customHeight="1">
      <c r="A1852" s="21"/>
    </row>
    <row r="1853" ht="15.75" customHeight="1">
      <c r="A1853" s="21"/>
    </row>
    <row r="1854" ht="15.75" customHeight="1">
      <c r="A1854" s="21"/>
    </row>
    <row r="1855" ht="15.75" customHeight="1">
      <c r="A1855" s="21"/>
    </row>
    <row r="1856" ht="15.75" customHeight="1">
      <c r="A1856" s="21"/>
    </row>
    <row r="1857" ht="15.75" customHeight="1">
      <c r="A1857" s="21"/>
    </row>
    <row r="1858" ht="15.75" customHeight="1">
      <c r="A1858" s="21"/>
    </row>
    <row r="1859" ht="15.75" customHeight="1">
      <c r="A1859" s="21"/>
    </row>
    <row r="1860" ht="15.75" customHeight="1">
      <c r="A1860" s="21"/>
    </row>
    <row r="1861" ht="15.75" customHeight="1">
      <c r="A1861" s="21"/>
    </row>
    <row r="1862" ht="15.75" customHeight="1">
      <c r="A1862" s="21"/>
    </row>
    <row r="1863" ht="15.75" customHeight="1">
      <c r="A1863" s="21"/>
    </row>
    <row r="1864" ht="15.75" customHeight="1">
      <c r="A1864" s="21"/>
    </row>
    <row r="1865" ht="15.75" customHeight="1">
      <c r="A1865" s="21"/>
    </row>
    <row r="1866" ht="15.75" customHeight="1">
      <c r="A1866" s="21"/>
    </row>
    <row r="1867" ht="15.75" customHeight="1">
      <c r="A1867" s="21"/>
    </row>
    <row r="1868" ht="15.75" customHeight="1">
      <c r="A1868" s="21"/>
    </row>
    <row r="1869" ht="15.75" customHeight="1">
      <c r="A1869" s="21"/>
    </row>
    <row r="1870" ht="15.75" customHeight="1">
      <c r="A1870" s="21"/>
    </row>
    <row r="1871" ht="15.75" customHeight="1">
      <c r="A1871" s="21"/>
    </row>
    <row r="1872" ht="15.75" customHeight="1">
      <c r="A1872" s="21"/>
    </row>
    <row r="1873" ht="15.75" customHeight="1">
      <c r="A1873" s="21"/>
    </row>
    <row r="1874" ht="15.75" customHeight="1">
      <c r="A1874" s="21"/>
    </row>
    <row r="1875" ht="15.75" customHeight="1">
      <c r="A1875" s="21"/>
    </row>
    <row r="1876" ht="15.75" customHeight="1">
      <c r="A1876" s="21"/>
    </row>
    <row r="1877" ht="15.75" customHeight="1">
      <c r="A1877" s="21"/>
    </row>
    <row r="1878" ht="15.75" customHeight="1">
      <c r="A1878" s="21"/>
    </row>
    <row r="1879" ht="15.75" customHeight="1">
      <c r="A1879" s="21"/>
    </row>
    <row r="1880" ht="15.75" customHeight="1">
      <c r="A1880" s="21"/>
    </row>
    <row r="1881" ht="15.75" customHeight="1">
      <c r="A1881" s="21"/>
    </row>
    <row r="1882" ht="15.75" customHeight="1">
      <c r="A1882" s="21"/>
    </row>
    <row r="1883" ht="15.75" customHeight="1">
      <c r="A1883" s="21"/>
    </row>
    <row r="1884" ht="15.75" customHeight="1">
      <c r="A1884" s="21"/>
    </row>
    <row r="1885" ht="15.75" customHeight="1">
      <c r="A1885" s="21"/>
    </row>
    <row r="1886" ht="15.75" customHeight="1">
      <c r="A1886" s="21"/>
    </row>
    <row r="1887" ht="15.75" customHeight="1">
      <c r="A1887" s="21"/>
    </row>
    <row r="1888" ht="15.75" customHeight="1">
      <c r="A1888" s="21"/>
    </row>
    <row r="1889" ht="15.75" customHeight="1">
      <c r="A1889" s="21"/>
    </row>
    <row r="1890" ht="15.75" customHeight="1">
      <c r="A1890" s="21"/>
    </row>
    <row r="1891" ht="15.75" customHeight="1">
      <c r="A1891" s="21"/>
    </row>
    <row r="1892" ht="15.75" customHeight="1">
      <c r="A1892" s="21"/>
    </row>
    <row r="1893" ht="15.75" customHeight="1">
      <c r="A1893" s="21"/>
    </row>
    <row r="1894" ht="15.75" customHeight="1">
      <c r="A1894" s="21"/>
    </row>
    <row r="1895" ht="15.75" customHeight="1">
      <c r="A1895" s="21"/>
    </row>
    <row r="1896" ht="15.75" customHeight="1">
      <c r="A1896" s="21"/>
    </row>
    <row r="1897" ht="15.75" customHeight="1">
      <c r="A1897" s="21"/>
    </row>
    <row r="1898" ht="15.75" customHeight="1">
      <c r="A1898" s="21"/>
    </row>
    <row r="1899" ht="15.75" customHeight="1">
      <c r="A1899" s="21"/>
    </row>
    <row r="1900" ht="15.75" customHeight="1">
      <c r="A1900" s="21"/>
    </row>
    <row r="1901" ht="15.75" customHeight="1">
      <c r="A1901" s="21"/>
    </row>
    <row r="1902" ht="15.75" customHeight="1">
      <c r="A1902" s="21"/>
    </row>
    <row r="1903" ht="15.75" customHeight="1">
      <c r="A1903" s="21"/>
    </row>
    <row r="1904" ht="15.75" customHeight="1">
      <c r="A1904" s="21"/>
    </row>
    <row r="1905" ht="15.75" customHeight="1">
      <c r="A1905" s="21"/>
    </row>
    <row r="1906" ht="15.75" customHeight="1">
      <c r="A1906" s="21"/>
    </row>
    <row r="1907" ht="15.75" customHeight="1">
      <c r="A1907" s="21"/>
    </row>
    <row r="1908" ht="15.75" customHeight="1">
      <c r="A1908" s="21"/>
    </row>
    <row r="1909" ht="15.75" customHeight="1">
      <c r="A1909" s="21"/>
    </row>
    <row r="1910" ht="15.75" customHeight="1">
      <c r="A1910" s="21"/>
    </row>
    <row r="1911" ht="15.75" customHeight="1">
      <c r="A1911" s="21"/>
    </row>
    <row r="1912" ht="15.75" customHeight="1">
      <c r="A1912" s="21"/>
    </row>
    <row r="1913" ht="15.75" customHeight="1">
      <c r="A1913" s="21"/>
    </row>
    <row r="1914" ht="15.75" customHeight="1">
      <c r="A1914" s="21"/>
    </row>
    <row r="1915" ht="15.75" customHeight="1">
      <c r="A1915" s="21"/>
    </row>
    <row r="1916" ht="15.75" customHeight="1">
      <c r="A1916" s="21"/>
    </row>
    <row r="1917" ht="15.75" customHeight="1">
      <c r="A1917" s="21"/>
    </row>
    <row r="1918" ht="15.75" customHeight="1">
      <c r="A1918" s="21"/>
    </row>
    <row r="1919" ht="15.75" customHeight="1">
      <c r="A1919" s="21"/>
    </row>
    <row r="1920" ht="15.75" customHeight="1">
      <c r="A1920" s="21"/>
    </row>
    <row r="1921" ht="15.75" customHeight="1">
      <c r="A1921" s="21"/>
    </row>
    <row r="1922" ht="15.75" customHeight="1">
      <c r="A1922" s="21"/>
    </row>
    <row r="1923" ht="15.75" customHeight="1">
      <c r="A1923" s="21"/>
    </row>
    <row r="1924" ht="15.75" customHeight="1">
      <c r="A1924" s="21"/>
    </row>
    <row r="1925" ht="15.75" customHeight="1">
      <c r="A1925" s="21"/>
    </row>
    <row r="1926" ht="15.75" customHeight="1">
      <c r="A1926" s="21"/>
    </row>
    <row r="1927" ht="15.75" customHeight="1">
      <c r="A1927" s="21"/>
    </row>
    <row r="1928" ht="15.75" customHeight="1">
      <c r="A1928" s="21"/>
    </row>
    <row r="1929" ht="15.75" customHeight="1">
      <c r="A1929" s="21"/>
    </row>
    <row r="1930" ht="15.75" customHeight="1">
      <c r="A1930" s="21"/>
    </row>
    <row r="1931" ht="15.75" customHeight="1">
      <c r="A1931" s="21"/>
    </row>
    <row r="1932" ht="15.75" customHeight="1">
      <c r="A1932" s="21"/>
    </row>
    <row r="1933" ht="15.75" customHeight="1">
      <c r="A1933" s="21"/>
    </row>
    <row r="1934" ht="15.75" customHeight="1">
      <c r="A1934" s="21"/>
    </row>
    <row r="1935" ht="15.75" customHeight="1">
      <c r="A1935" s="21"/>
    </row>
    <row r="1936" ht="15.75" customHeight="1">
      <c r="A1936" s="21"/>
    </row>
    <row r="1937" ht="15.75" customHeight="1">
      <c r="A1937" s="21"/>
    </row>
    <row r="1938" ht="15.75" customHeight="1">
      <c r="A1938" s="21"/>
    </row>
    <row r="1939" ht="15.75" customHeight="1">
      <c r="A1939" s="21"/>
    </row>
    <row r="1940" ht="15.75" customHeight="1">
      <c r="A1940" s="21"/>
    </row>
    <row r="1941" ht="15.75" customHeight="1">
      <c r="A1941" s="21"/>
    </row>
    <row r="1942" ht="15.75" customHeight="1">
      <c r="A1942" s="21"/>
    </row>
    <row r="1943" ht="15.75" customHeight="1">
      <c r="A1943" s="21"/>
    </row>
    <row r="1944" ht="15.75" customHeight="1">
      <c r="A1944" s="21"/>
    </row>
    <row r="1945" ht="15.75" customHeight="1">
      <c r="A1945" s="21"/>
    </row>
    <row r="1946" ht="15.75" customHeight="1">
      <c r="A1946" s="21"/>
    </row>
    <row r="1947" ht="15.75" customHeight="1">
      <c r="A1947" s="21"/>
    </row>
    <row r="1948" ht="15.75" customHeight="1">
      <c r="A1948" s="21"/>
    </row>
    <row r="1949" ht="15.75" customHeight="1">
      <c r="A1949" s="21"/>
    </row>
    <row r="1950" ht="15.75" customHeight="1">
      <c r="A1950" s="21"/>
    </row>
    <row r="1951" ht="15.75" customHeight="1">
      <c r="A1951" s="21"/>
    </row>
    <row r="1952" ht="15.75" customHeight="1">
      <c r="A1952" s="21"/>
    </row>
    <row r="1953" ht="15.75" customHeight="1">
      <c r="A1953" s="21"/>
    </row>
    <row r="1954" ht="15.75" customHeight="1">
      <c r="A1954" s="21"/>
    </row>
    <row r="1955" ht="15.75" customHeight="1">
      <c r="A1955" s="21"/>
    </row>
    <row r="1956" ht="15.75" customHeight="1">
      <c r="A1956" s="21"/>
    </row>
    <row r="1957" ht="15.75" customHeight="1">
      <c r="A1957" s="21"/>
    </row>
    <row r="1958" ht="15.75" customHeight="1">
      <c r="A1958" s="21"/>
    </row>
    <row r="1959" ht="15.75" customHeight="1">
      <c r="A1959" s="21"/>
    </row>
    <row r="1960" ht="15.75" customHeight="1">
      <c r="A1960" s="21"/>
    </row>
    <row r="1961" ht="15.75" customHeight="1">
      <c r="A1961" s="21"/>
    </row>
    <row r="1962" ht="15.75" customHeight="1">
      <c r="A1962" s="21"/>
    </row>
    <row r="1963" ht="15.75" customHeight="1">
      <c r="A1963" s="21"/>
    </row>
    <row r="1964" ht="15.75" customHeight="1">
      <c r="A1964" s="21"/>
    </row>
    <row r="1965" ht="15.75" customHeight="1">
      <c r="A1965" s="21"/>
    </row>
    <row r="1966" ht="15.75" customHeight="1">
      <c r="A1966" s="21"/>
    </row>
    <row r="1967" ht="15.75" customHeight="1">
      <c r="A1967" s="21"/>
    </row>
    <row r="1968" ht="15.75" customHeight="1">
      <c r="A1968" s="21"/>
    </row>
    <row r="1969" ht="15.75" customHeight="1">
      <c r="A1969" s="21"/>
    </row>
    <row r="1970" ht="15.75" customHeight="1">
      <c r="A1970" s="21"/>
    </row>
    <row r="1971" ht="15.75" customHeight="1">
      <c r="A1971" s="21"/>
    </row>
    <row r="1972" ht="15.75" customHeight="1">
      <c r="A1972" s="21"/>
    </row>
    <row r="1973" ht="15.75" customHeight="1">
      <c r="A1973" s="21"/>
    </row>
    <row r="1974" ht="15.75" customHeight="1">
      <c r="A1974" s="21"/>
    </row>
    <row r="1975" ht="15.75" customHeight="1">
      <c r="A1975" s="21"/>
    </row>
    <row r="1976" ht="15.75" customHeight="1">
      <c r="A1976" s="21"/>
    </row>
    <row r="1977" ht="15.75" customHeight="1">
      <c r="A1977" s="21"/>
    </row>
    <row r="1978" ht="15.75" customHeight="1">
      <c r="A1978" s="21"/>
    </row>
    <row r="1979" ht="15.75" customHeight="1">
      <c r="A1979" s="21"/>
    </row>
    <row r="1980" ht="15.75" customHeight="1">
      <c r="A1980" s="21"/>
    </row>
    <row r="1981" ht="15.75" customHeight="1">
      <c r="A1981" s="21"/>
    </row>
    <row r="1982" ht="15.75" customHeight="1">
      <c r="A1982" s="21"/>
    </row>
    <row r="1983" ht="15.75" customHeight="1">
      <c r="A1983" s="21"/>
    </row>
    <row r="1984" ht="15.75" customHeight="1">
      <c r="A1984" s="21"/>
    </row>
    <row r="1985" ht="15.75" customHeight="1">
      <c r="A1985" s="21"/>
    </row>
    <row r="1986" ht="15.75" customHeight="1">
      <c r="A1986" s="21"/>
    </row>
    <row r="1987" ht="15.75" customHeight="1">
      <c r="A1987" s="21"/>
    </row>
    <row r="1988" ht="15.75" customHeight="1">
      <c r="A1988" s="21"/>
    </row>
    <row r="1989" ht="15.75" customHeight="1">
      <c r="A1989" s="21"/>
    </row>
    <row r="1990" ht="15.75" customHeight="1">
      <c r="A1990" s="21"/>
    </row>
    <row r="1991" ht="15.75" customHeight="1">
      <c r="A1991" s="21"/>
    </row>
    <row r="1992" ht="15.75" customHeight="1">
      <c r="A1992" s="21"/>
    </row>
    <row r="1993" ht="15.75" customHeight="1">
      <c r="A1993" s="21"/>
    </row>
    <row r="1994" ht="15.75" customHeight="1">
      <c r="A1994" s="21"/>
    </row>
    <row r="1995" ht="15.75" customHeight="1">
      <c r="A1995" s="21"/>
    </row>
    <row r="1996" ht="15.75" customHeight="1">
      <c r="A1996" s="21"/>
    </row>
    <row r="1997" ht="15.75" customHeight="1">
      <c r="A1997" s="21"/>
    </row>
    <row r="1998" ht="15.75" customHeight="1">
      <c r="A1998" s="21"/>
    </row>
    <row r="1999" ht="15.75" customHeight="1">
      <c r="A1999" s="21"/>
    </row>
    <row r="2000" ht="15.75" customHeight="1">
      <c r="A2000" s="21"/>
    </row>
  </sheetData>
  <autoFilter ref="$B$1:$S$1000">
    <filterColumn colId="6">
      <customFilters>
        <customFilter operator="greaterThan" val="80"/>
      </customFilters>
    </filterColumn>
    <filterColumn colId="2">
      <filters blank="1">
        <filter val="Female"/>
      </filters>
    </filterColumn>
    <filterColumn colId="3">
      <filters blank="1">
        <filter val="9"/>
      </filters>
    </filterColumn>
  </autoFilter>
  <conditionalFormatting sqref="A15">
    <cfRule type="notContainsBlanks" dxfId="4" priority="1">
      <formula>LEN(TRIM(A15))&gt;0</formula>
    </cfRule>
  </conditionalFormatting>
  <conditionalFormatting sqref="A1">
    <cfRule type="notContainsBlanks" dxfId="4" priority="2">
      <formula>LEN(TRIM(A1))&gt;0</formula>
    </cfRule>
  </conditionalFormatting>
  <drawing r:id="rId1"/>
  <tableParts count="1">
    <tablePart r:id="rId3"/>
  </tableParts>
</worksheet>
</file>